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tage 2\EFM\Final Project\"/>
    </mc:Choice>
  </mc:AlternateContent>
  <xr:revisionPtr revIDLastSave="0" documentId="8_{53A7214C-78B0-4AB3-AF86-7D3A407A572F}" xr6:coauthVersionLast="47" xr6:coauthVersionMax="47" xr10:uidLastSave="{00000000-0000-0000-0000-000000000000}"/>
  <bookViews>
    <workbookView xWindow="-108" yWindow="-108" windowWidth="23256" windowHeight="12456" xr2:uid="{02B67A08-821D-4300-952F-9BDF2E7E2C62}"/>
  </bookViews>
  <sheets>
    <sheet name="Final data set for STATA t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0" i="1" l="1"/>
  <c r="L210" i="1"/>
  <c r="J210" i="1"/>
  <c r="H210" i="1"/>
  <c r="D210" i="1"/>
  <c r="N209" i="1"/>
  <c r="L209" i="1"/>
  <c r="J209" i="1"/>
  <c r="H209" i="1"/>
  <c r="D209" i="1"/>
  <c r="N208" i="1"/>
  <c r="L208" i="1"/>
  <c r="J208" i="1"/>
  <c r="H208" i="1"/>
  <c r="D208" i="1"/>
  <c r="N207" i="1"/>
  <c r="L207" i="1"/>
  <c r="J207" i="1"/>
  <c r="H207" i="1"/>
  <c r="D207" i="1"/>
  <c r="N206" i="1"/>
  <c r="L206" i="1"/>
  <c r="J206" i="1"/>
  <c r="H206" i="1"/>
  <c r="D206" i="1"/>
  <c r="N205" i="1"/>
  <c r="L205" i="1"/>
  <c r="J205" i="1"/>
  <c r="H205" i="1"/>
  <c r="D205" i="1"/>
  <c r="N204" i="1"/>
  <c r="L204" i="1"/>
  <c r="J204" i="1"/>
  <c r="H204" i="1"/>
  <c r="D204" i="1"/>
  <c r="N203" i="1"/>
  <c r="L203" i="1"/>
  <c r="J203" i="1"/>
  <c r="H203" i="1"/>
  <c r="D203" i="1"/>
  <c r="N202" i="1"/>
  <c r="L202" i="1"/>
  <c r="J202" i="1"/>
  <c r="H202" i="1"/>
  <c r="D202" i="1"/>
  <c r="N201" i="1"/>
  <c r="L201" i="1"/>
  <c r="J201" i="1"/>
  <c r="H201" i="1"/>
  <c r="D201" i="1"/>
  <c r="N200" i="1"/>
  <c r="L200" i="1"/>
  <c r="J200" i="1"/>
  <c r="H200" i="1"/>
  <c r="D200" i="1"/>
  <c r="N199" i="1"/>
  <c r="L199" i="1"/>
  <c r="J199" i="1"/>
  <c r="H199" i="1"/>
  <c r="D199" i="1"/>
  <c r="N198" i="1"/>
  <c r="L198" i="1"/>
  <c r="J198" i="1"/>
  <c r="H198" i="1"/>
  <c r="D198" i="1"/>
  <c r="N197" i="1"/>
  <c r="L197" i="1"/>
  <c r="J197" i="1"/>
  <c r="H197" i="1"/>
  <c r="D197" i="1"/>
  <c r="N196" i="1"/>
  <c r="L196" i="1"/>
  <c r="J196" i="1"/>
  <c r="H196" i="1"/>
  <c r="D196" i="1"/>
  <c r="N195" i="1"/>
  <c r="L195" i="1"/>
  <c r="J195" i="1"/>
  <c r="H195" i="1"/>
  <c r="D195" i="1"/>
  <c r="N194" i="1"/>
  <c r="L194" i="1"/>
  <c r="J194" i="1"/>
  <c r="H194" i="1"/>
  <c r="D194" i="1"/>
  <c r="N193" i="1"/>
  <c r="L193" i="1"/>
  <c r="J193" i="1"/>
  <c r="H193" i="1"/>
  <c r="D193" i="1"/>
  <c r="N192" i="1"/>
  <c r="L192" i="1"/>
  <c r="J192" i="1"/>
  <c r="H192" i="1"/>
  <c r="D192" i="1"/>
  <c r="N191" i="1"/>
  <c r="L191" i="1"/>
  <c r="J191" i="1"/>
  <c r="H191" i="1"/>
  <c r="D191" i="1"/>
  <c r="N190" i="1"/>
  <c r="L190" i="1"/>
  <c r="J190" i="1"/>
  <c r="H190" i="1"/>
  <c r="D190" i="1"/>
  <c r="N189" i="1"/>
  <c r="L189" i="1"/>
  <c r="J189" i="1"/>
  <c r="H189" i="1"/>
  <c r="D189" i="1"/>
  <c r="N188" i="1"/>
  <c r="L188" i="1"/>
  <c r="J188" i="1"/>
  <c r="H188" i="1"/>
  <c r="D188" i="1"/>
  <c r="N187" i="1"/>
  <c r="L187" i="1"/>
  <c r="J187" i="1"/>
  <c r="H187" i="1"/>
  <c r="D187" i="1"/>
  <c r="N186" i="1"/>
  <c r="L186" i="1"/>
  <c r="J186" i="1"/>
  <c r="H186" i="1"/>
  <c r="D186" i="1"/>
  <c r="N185" i="1"/>
  <c r="L185" i="1"/>
  <c r="J185" i="1"/>
  <c r="H185" i="1"/>
  <c r="D185" i="1"/>
  <c r="N184" i="1"/>
  <c r="L184" i="1"/>
  <c r="J184" i="1"/>
  <c r="H184" i="1"/>
  <c r="D184" i="1"/>
  <c r="N183" i="1"/>
  <c r="L183" i="1"/>
  <c r="J183" i="1"/>
  <c r="H183" i="1"/>
  <c r="D183" i="1"/>
  <c r="N182" i="1"/>
  <c r="L182" i="1"/>
  <c r="J182" i="1"/>
  <c r="H182" i="1"/>
  <c r="D182" i="1"/>
  <c r="N181" i="1"/>
  <c r="L181" i="1"/>
  <c r="J181" i="1"/>
  <c r="H181" i="1"/>
  <c r="D181" i="1"/>
  <c r="N180" i="1"/>
  <c r="L180" i="1"/>
  <c r="J180" i="1"/>
  <c r="H180" i="1"/>
  <c r="D180" i="1"/>
  <c r="N179" i="1"/>
  <c r="L179" i="1"/>
  <c r="J179" i="1"/>
  <c r="H179" i="1"/>
  <c r="D179" i="1"/>
  <c r="N178" i="1"/>
  <c r="L178" i="1"/>
  <c r="J178" i="1"/>
  <c r="H178" i="1"/>
  <c r="D178" i="1"/>
  <c r="N177" i="1"/>
  <c r="L177" i="1"/>
  <c r="J177" i="1"/>
  <c r="H177" i="1"/>
  <c r="D177" i="1"/>
  <c r="N176" i="1"/>
  <c r="L176" i="1"/>
  <c r="J176" i="1"/>
  <c r="H176" i="1"/>
  <c r="D176" i="1"/>
  <c r="N175" i="1"/>
  <c r="L175" i="1"/>
  <c r="J175" i="1"/>
  <c r="H175" i="1"/>
  <c r="D175" i="1"/>
  <c r="N174" i="1"/>
  <c r="L174" i="1"/>
  <c r="J174" i="1"/>
  <c r="H174" i="1"/>
  <c r="D174" i="1"/>
  <c r="N173" i="1"/>
  <c r="L173" i="1"/>
  <c r="J173" i="1"/>
  <c r="H173" i="1"/>
  <c r="D173" i="1"/>
  <c r="N172" i="1"/>
  <c r="L172" i="1"/>
  <c r="J172" i="1"/>
  <c r="H172" i="1"/>
  <c r="D172" i="1"/>
  <c r="N171" i="1"/>
  <c r="L171" i="1"/>
  <c r="J171" i="1"/>
  <c r="H171" i="1"/>
  <c r="D171" i="1"/>
  <c r="N170" i="1"/>
  <c r="L170" i="1"/>
  <c r="J170" i="1"/>
  <c r="H170" i="1"/>
  <c r="D170" i="1"/>
  <c r="N169" i="1"/>
  <c r="L169" i="1"/>
  <c r="J169" i="1"/>
  <c r="H169" i="1"/>
  <c r="D169" i="1"/>
  <c r="N168" i="1"/>
  <c r="L168" i="1"/>
  <c r="J168" i="1"/>
  <c r="H168" i="1"/>
  <c r="D168" i="1"/>
  <c r="N167" i="1"/>
  <c r="L167" i="1"/>
  <c r="J167" i="1"/>
  <c r="H167" i="1"/>
  <c r="D167" i="1"/>
  <c r="N166" i="1"/>
  <c r="L166" i="1"/>
  <c r="J166" i="1"/>
  <c r="H166" i="1"/>
  <c r="D166" i="1"/>
  <c r="N165" i="1"/>
  <c r="L165" i="1"/>
  <c r="J165" i="1"/>
  <c r="H165" i="1"/>
  <c r="D165" i="1"/>
  <c r="N164" i="1"/>
  <c r="L164" i="1"/>
  <c r="J164" i="1"/>
  <c r="H164" i="1"/>
  <c r="D164" i="1"/>
  <c r="N163" i="1"/>
  <c r="L163" i="1"/>
  <c r="J163" i="1"/>
  <c r="H163" i="1"/>
  <c r="D163" i="1"/>
  <c r="N162" i="1"/>
  <c r="L162" i="1"/>
  <c r="J162" i="1"/>
  <c r="H162" i="1"/>
  <c r="D162" i="1"/>
  <c r="N161" i="1"/>
  <c r="L161" i="1"/>
  <c r="J161" i="1"/>
  <c r="H161" i="1"/>
  <c r="D161" i="1"/>
  <c r="N160" i="1"/>
  <c r="L160" i="1"/>
  <c r="J160" i="1"/>
  <c r="H160" i="1"/>
  <c r="D160" i="1"/>
  <c r="N159" i="1"/>
  <c r="L159" i="1"/>
  <c r="J159" i="1"/>
  <c r="H159" i="1"/>
  <c r="D159" i="1"/>
  <c r="N158" i="1"/>
  <c r="L158" i="1"/>
  <c r="J158" i="1"/>
  <c r="H158" i="1"/>
  <c r="D158" i="1"/>
  <c r="N157" i="1"/>
  <c r="L157" i="1"/>
  <c r="J157" i="1"/>
  <c r="H157" i="1"/>
  <c r="D157" i="1"/>
  <c r="N156" i="1"/>
  <c r="L156" i="1"/>
  <c r="J156" i="1"/>
  <c r="H156" i="1"/>
  <c r="D156" i="1"/>
  <c r="N155" i="1"/>
  <c r="L155" i="1"/>
  <c r="J155" i="1"/>
  <c r="H155" i="1"/>
  <c r="D155" i="1"/>
  <c r="N154" i="1"/>
  <c r="L154" i="1"/>
  <c r="J154" i="1"/>
  <c r="H154" i="1"/>
  <c r="D154" i="1"/>
  <c r="N153" i="1"/>
  <c r="L153" i="1"/>
  <c r="J153" i="1"/>
  <c r="H153" i="1"/>
  <c r="D153" i="1"/>
  <c r="N152" i="1"/>
  <c r="L152" i="1"/>
  <c r="J152" i="1"/>
  <c r="H152" i="1"/>
  <c r="D152" i="1"/>
  <c r="N151" i="1"/>
  <c r="L151" i="1"/>
  <c r="J151" i="1"/>
  <c r="H151" i="1"/>
  <c r="D151" i="1"/>
  <c r="N150" i="1"/>
  <c r="L150" i="1"/>
  <c r="J150" i="1"/>
  <c r="H150" i="1"/>
  <c r="D150" i="1"/>
  <c r="N149" i="1"/>
  <c r="L149" i="1"/>
  <c r="J149" i="1"/>
  <c r="H149" i="1"/>
  <c r="D149" i="1"/>
  <c r="N148" i="1"/>
  <c r="L148" i="1"/>
  <c r="J148" i="1"/>
  <c r="H148" i="1"/>
  <c r="D148" i="1"/>
  <c r="N147" i="1"/>
  <c r="L147" i="1"/>
  <c r="J147" i="1"/>
  <c r="H147" i="1"/>
  <c r="D147" i="1"/>
  <c r="N146" i="1"/>
  <c r="L146" i="1"/>
  <c r="J146" i="1"/>
  <c r="H146" i="1"/>
  <c r="D146" i="1"/>
  <c r="N145" i="1"/>
  <c r="L145" i="1"/>
  <c r="J145" i="1"/>
  <c r="H145" i="1"/>
  <c r="D145" i="1"/>
  <c r="N144" i="1"/>
  <c r="L144" i="1"/>
  <c r="J144" i="1"/>
  <c r="H144" i="1"/>
  <c r="D144" i="1"/>
  <c r="N143" i="1"/>
  <c r="L143" i="1"/>
  <c r="J143" i="1"/>
  <c r="H143" i="1"/>
  <c r="D143" i="1"/>
  <c r="N142" i="1"/>
  <c r="L142" i="1"/>
  <c r="J142" i="1"/>
  <c r="H142" i="1"/>
  <c r="D142" i="1"/>
  <c r="N141" i="1"/>
  <c r="L141" i="1"/>
  <c r="J141" i="1"/>
  <c r="H141" i="1"/>
  <c r="D141" i="1"/>
  <c r="N140" i="1"/>
  <c r="L140" i="1"/>
  <c r="J140" i="1"/>
  <c r="H140" i="1"/>
  <c r="D140" i="1"/>
  <c r="N139" i="1"/>
  <c r="L139" i="1"/>
  <c r="J139" i="1"/>
  <c r="H139" i="1"/>
  <c r="D139" i="1"/>
  <c r="N138" i="1"/>
  <c r="L138" i="1"/>
  <c r="J138" i="1"/>
  <c r="H138" i="1"/>
  <c r="D138" i="1"/>
  <c r="N137" i="1"/>
  <c r="L137" i="1"/>
  <c r="J137" i="1"/>
  <c r="H137" i="1"/>
  <c r="D137" i="1"/>
  <c r="N136" i="1"/>
  <c r="L136" i="1"/>
  <c r="J136" i="1"/>
  <c r="H136" i="1"/>
  <c r="D136" i="1"/>
  <c r="N135" i="1"/>
  <c r="L135" i="1"/>
  <c r="J135" i="1"/>
  <c r="H135" i="1"/>
  <c r="D135" i="1"/>
  <c r="N134" i="1"/>
  <c r="L134" i="1"/>
  <c r="J134" i="1"/>
  <c r="H134" i="1"/>
  <c r="D134" i="1"/>
  <c r="N133" i="1"/>
  <c r="L133" i="1"/>
  <c r="J133" i="1"/>
  <c r="H133" i="1"/>
  <c r="D133" i="1"/>
  <c r="N132" i="1"/>
  <c r="L132" i="1"/>
  <c r="J132" i="1"/>
  <c r="H132" i="1"/>
  <c r="D132" i="1"/>
  <c r="N131" i="1"/>
  <c r="L131" i="1"/>
  <c r="J131" i="1"/>
  <c r="H131" i="1"/>
  <c r="D131" i="1"/>
  <c r="N130" i="1"/>
  <c r="L130" i="1"/>
  <c r="J130" i="1"/>
  <c r="H130" i="1"/>
  <c r="D130" i="1"/>
  <c r="N129" i="1"/>
  <c r="L129" i="1"/>
  <c r="J129" i="1"/>
  <c r="H129" i="1"/>
  <c r="D129" i="1"/>
  <c r="N128" i="1"/>
  <c r="L128" i="1"/>
  <c r="J128" i="1"/>
  <c r="H128" i="1"/>
  <c r="D128" i="1"/>
  <c r="N127" i="1"/>
  <c r="L127" i="1"/>
  <c r="J127" i="1"/>
  <c r="H127" i="1"/>
  <c r="D127" i="1"/>
  <c r="N126" i="1"/>
  <c r="L126" i="1"/>
  <c r="J126" i="1"/>
  <c r="H126" i="1"/>
  <c r="D126" i="1"/>
  <c r="N125" i="1"/>
  <c r="L125" i="1"/>
  <c r="J125" i="1"/>
  <c r="H125" i="1"/>
  <c r="D125" i="1"/>
  <c r="N124" i="1"/>
  <c r="L124" i="1"/>
  <c r="J124" i="1"/>
  <c r="H124" i="1"/>
  <c r="D124" i="1"/>
  <c r="N123" i="1"/>
  <c r="L123" i="1"/>
  <c r="J123" i="1"/>
  <c r="H123" i="1"/>
  <c r="D123" i="1"/>
  <c r="N122" i="1"/>
  <c r="L122" i="1"/>
  <c r="J122" i="1"/>
  <c r="H122" i="1"/>
  <c r="D122" i="1"/>
  <c r="N121" i="1"/>
  <c r="L121" i="1"/>
  <c r="J121" i="1"/>
  <c r="H121" i="1"/>
  <c r="D121" i="1"/>
  <c r="N120" i="1"/>
  <c r="L120" i="1"/>
  <c r="J120" i="1"/>
  <c r="H120" i="1"/>
  <c r="D120" i="1"/>
  <c r="N119" i="1"/>
  <c r="L119" i="1"/>
  <c r="J119" i="1"/>
  <c r="H119" i="1"/>
  <c r="D119" i="1"/>
  <c r="N118" i="1"/>
  <c r="L118" i="1"/>
  <c r="J118" i="1"/>
  <c r="H118" i="1"/>
  <c r="D118" i="1"/>
  <c r="N117" i="1"/>
  <c r="L117" i="1"/>
  <c r="J117" i="1"/>
  <c r="H117" i="1"/>
  <c r="D117" i="1"/>
  <c r="N116" i="1"/>
  <c r="L116" i="1"/>
  <c r="J116" i="1"/>
  <c r="H116" i="1"/>
  <c r="D116" i="1"/>
  <c r="N115" i="1"/>
  <c r="L115" i="1"/>
  <c r="J115" i="1"/>
  <c r="H115" i="1"/>
  <c r="D115" i="1"/>
  <c r="N114" i="1"/>
  <c r="L114" i="1"/>
  <c r="J114" i="1"/>
  <c r="H114" i="1"/>
  <c r="D114" i="1"/>
  <c r="N113" i="1"/>
  <c r="L113" i="1"/>
  <c r="J113" i="1"/>
  <c r="H113" i="1"/>
  <c r="D113" i="1"/>
  <c r="N112" i="1"/>
  <c r="L112" i="1"/>
  <c r="J112" i="1"/>
  <c r="H112" i="1"/>
  <c r="D112" i="1"/>
  <c r="N111" i="1"/>
  <c r="L111" i="1"/>
  <c r="J111" i="1"/>
  <c r="H111" i="1"/>
  <c r="D111" i="1"/>
  <c r="N110" i="1"/>
  <c r="L110" i="1"/>
  <c r="J110" i="1"/>
  <c r="H110" i="1"/>
  <c r="D110" i="1"/>
  <c r="N109" i="1"/>
  <c r="L109" i="1"/>
  <c r="J109" i="1"/>
  <c r="H109" i="1"/>
  <c r="D109" i="1"/>
  <c r="N108" i="1"/>
  <c r="L108" i="1"/>
  <c r="J108" i="1"/>
  <c r="H108" i="1"/>
  <c r="D108" i="1"/>
  <c r="N107" i="1"/>
  <c r="L107" i="1"/>
  <c r="J107" i="1"/>
  <c r="H107" i="1"/>
  <c r="D107" i="1"/>
  <c r="N106" i="1"/>
  <c r="L106" i="1"/>
  <c r="J106" i="1"/>
  <c r="H106" i="1"/>
  <c r="D106" i="1"/>
  <c r="N105" i="1"/>
  <c r="L105" i="1"/>
  <c r="J105" i="1"/>
  <c r="H105" i="1"/>
  <c r="D105" i="1"/>
  <c r="N104" i="1"/>
  <c r="L104" i="1"/>
  <c r="J104" i="1"/>
  <c r="H104" i="1"/>
  <c r="D104" i="1"/>
  <c r="N103" i="1"/>
  <c r="L103" i="1"/>
  <c r="J103" i="1"/>
  <c r="H103" i="1"/>
  <c r="D103" i="1"/>
  <c r="N102" i="1"/>
  <c r="L102" i="1"/>
  <c r="J102" i="1"/>
  <c r="H102" i="1"/>
  <c r="D102" i="1"/>
  <c r="N101" i="1"/>
  <c r="L101" i="1"/>
  <c r="J101" i="1"/>
  <c r="H101" i="1"/>
  <c r="D101" i="1"/>
  <c r="N100" i="1"/>
  <c r="L100" i="1"/>
  <c r="J100" i="1"/>
  <c r="H100" i="1"/>
  <c r="D100" i="1"/>
  <c r="N99" i="1"/>
  <c r="L99" i="1"/>
  <c r="J99" i="1"/>
  <c r="H99" i="1"/>
  <c r="D99" i="1"/>
  <c r="N98" i="1"/>
  <c r="L98" i="1"/>
  <c r="J98" i="1"/>
  <c r="H98" i="1"/>
  <c r="D98" i="1"/>
  <c r="N97" i="1"/>
  <c r="L97" i="1"/>
  <c r="J97" i="1"/>
  <c r="H97" i="1"/>
  <c r="D97" i="1"/>
  <c r="N96" i="1"/>
  <c r="L96" i="1"/>
  <c r="J96" i="1"/>
  <c r="H96" i="1"/>
  <c r="D96" i="1"/>
  <c r="N95" i="1"/>
  <c r="L95" i="1"/>
  <c r="J95" i="1"/>
  <c r="H95" i="1"/>
  <c r="D95" i="1"/>
  <c r="N94" i="1"/>
  <c r="L94" i="1"/>
  <c r="J94" i="1"/>
  <c r="H94" i="1"/>
  <c r="D94" i="1"/>
  <c r="N93" i="1"/>
  <c r="L93" i="1"/>
  <c r="J93" i="1"/>
  <c r="H93" i="1"/>
  <c r="D93" i="1"/>
  <c r="N92" i="1"/>
  <c r="L92" i="1"/>
  <c r="J92" i="1"/>
  <c r="H92" i="1"/>
  <c r="D92" i="1"/>
  <c r="N91" i="1"/>
  <c r="L91" i="1"/>
  <c r="J91" i="1"/>
  <c r="H91" i="1"/>
  <c r="D91" i="1"/>
  <c r="N90" i="1"/>
  <c r="L90" i="1"/>
  <c r="J90" i="1"/>
  <c r="H90" i="1"/>
  <c r="D90" i="1"/>
  <c r="N89" i="1"/>
  <c r="L89" i="1"/>
  <c r="J89" i="1"/>
  <c r="H89" i="1"/>
  <c r="D89" i="1"/>
  <c r="N88" i="1"/>
  <c r="L88" i="1"/>
  <c r="J88" i="1"/>
  <c r="H88" i="1"/>
  <c r="D88" i="1"/>
  <c r="N87" i="1"/>
  <c r="L87" i="1"/>
  <c r="J87" i="1"/>
  <c r="H87" i="1"/>
  <c r="D87" i="1"/>
  <c r="N86" i="1"/>
  <c r="L86" i="1"/>
  <c r="J86" i="1"/>
  <c r="H86" i="1"/>
  <c r="D86" i="1"/>
  <c r="N85" i="1"/>
  <c r="L85" i="1"/>
  <c r="J85" i="1"/>
  <c r="H85" i="1"/>
  <c r="D85" i="1"/>
  <c r="N84" i="1"/>
  <c r="L84" i="1"/>
  <c r="J84" i="1"/>
  <c r="H84" i="1"/>
  <c r="D84" i="1"/>
  <c r="N83" i="1"/>
  <c r="L83" i="1"/>
  <c r="J83" i="1"/>
  <c r="H83" i="1"/>
  <c r="D83" i="1"/>
  <c r="N82" i="1"/>
  <c r="L82" i="1"/>
  <c r="J82" i="1"/>
  <c r="H82" i="1"/>
  <c r="D82" i="1"/>
  <c r="N81" i="1"/>
  <c r="L81" i="1"/>
  <c r="J81" i="1"/>
  <c r="H81" i="1"/>
  <c r="D81" i="1"/>
  <c r="N80" i="1"/>
  <c r="L80" i="1"/>
  <c r="J80" i="1"/>
  <c r="H80" i="1"/>
  <c r="D80" i="1"/>
  <c r="N79" i="1"/>
  <c r="L79" i="1"/>
  <c r="J79" i="1"/>
  <c r="H79" i="1"/>
  <c r="D79" i="1"/>
  <c r="N78" i="1"/>
  <c r="L78" i="1"/>
  <c r="J78" i="1"/>
  <c r="H78" i="1"/>
  <c r="D78" i="1"/>
  <c r="N77" i="1"/>
  <c r="L77" i="1"/>
  <c r="J77" i="1"/>
  <c r="H77" i="1"/>
  <c r="D77" i="1"/>
  <c r="N76" i="1"/>
  <c r="L76" i="1"/>
  <c r="J76" i="1"/>
  <c r="H76" i="1"/>
  <c r="D76" i="1"/>
  <c r="N75" i="1"/>
  <c r="L75" i="1"/>
  <c r="J75" i="1"/>
  <c r="H75" i="1"/>
  <c r="D75" i="1"/>
  <c r="N74" i="1"/>
  <c r="L74" i="1"/>
  <c r="J74" i="1"/>
  <c r="H74" i="1"/>
  <c r="D74" i="1"/>
  <c r="N73" i="1"/>
  <c r="L73" i="1"/>
  <c r="J73" i="1"/>
  <c r="H73" i="1"/>
  <c r="D73" i="1"/>
  <c r="N72" i="1"/>
  <c r="L72" i="1"/>
  <c r="J72" i="1"/>
  <c r="H72" i="1"/>
  <c r="D72" i="1"/>
  <c r="N71" i="1"/>
  <c r="L71" i="1"/>
  <c r="J71" i="1"/>
  <c r="H71" i="1"/>
  <c r="D71" i="1"/>
  <c r="N70" i="1"/>
  <c r="L70" i="1"/>
  <c r="J70" i="1"/>
  <c r="H70" i="1"/>
  <c r="D70" i="1"/>
  <c r="N69" i="1"/>
  <c r="L69" i="1"/>
  <c r="J69" i="1"/>
  <c r="H69" i="1"/>
  <c r="D69" i="1"/>
  <c r="N68" i="1"/>
  <c r="L68" i="1"/>
  <c r="J68" i="1"/>
  <c r="H68" i="1"/>
  <c r="D68" i="1"/>
  <c r="N67" i="1"/>
  <c r="L67" i="1"/>
  <c r="J67" i="1"/>
  <c r="H67" i="1"/>
  <c r="D67" i="1"/>
  <c r="N66" i="1"/>
  <c r="L66" i="1"/>
  <c r="J66" i="1"/>
  <c r="H66" i="1"/>
  <c r="D66" i="1"/>
  <c r="N65" i="1"/>
  <c r="L65" i="1"/>
  <c r="J65" i="1"/>
  <c r="H65" i="1"/>
  <c r="D65" i="1"/>
  <c r="N64" i="1"/>
  <c r="L64" i="1"/>
  <c r="J64" i="1"/>
  <c r="H64" i="1"/>
  <c r="D64" i="1"/>
  <c r="N63" i="1"/>
  <c r="L63" i="1"/>
  <c r="J63" i="1"/>
  <c r="H63" i="1"/>
  <c r="D63" i="1"/>
  <c r="N62" i="1"/>
  <c r="L62" i="1"/>
  <c r="J62" i="1"/>
  <c r="H62" i="1"/>
  <c r="D62" i="1"/>
  <c r="N61" i="1"/>
  <c r="L61" i="1"/>
  <c r="J61" i="1"/>
  <c r="H61" i="1"/>
  <c r="D61" i="1"/>
  <c r="N60" i="1"/>
  <c r="L60" i="1"/>
  <c r="J60" i="1"/>
  <c r="H60" i="1"/>
  <c r="D60" i="1"/>
  <c r="N59" i="1"/>
  <c r="L59" i="1"/>
  <c r="J59" i="1"/>
  <c r="H59" i="1"/>
  <c r="D59" i="1"/>
  <c r="N58" i="1"/>
  <c r="L58" i="1"/>
  <c r="J58" i="1"/>
  <c r="H58" i="1"/>
  <c r="D58" i="1"/>
  <c r="N57" i="1"/>
  <c r="L57" i="1"/>
  <c r="J57" i="1"/>
  <c r="H57" i="1"/>
  <c r="D57" i="1"/>
  <c r="N56" i="1"/>
  <c r="L56" i="1"/>
  <c r="J56" i="1"/>
  <c r="H56" i="1"/>
  <c r="D56" i="1"/>
  <c r="N55" i="1"/>
  <c r="L55" i="1"/>
  <c r="J55" i="1"/>
  <c r="H55" i="1"/>
  <c r="D55" i="1"/>
  <c r="N54" i="1"/>
  <c r="L54" i="1"/>
  <c r="J54" i="1"/>
  <c r="H54" i="1"/>
  <c r="D54" i="1"/>
  <c r="N53" i="1"/>
  <c r="L53" i="1"/>
  <c r="J53" i="1"/>
  <c r="H53" i="1"/>
  <c r="D53" i="1"/>
  <c r="N52" i="1"/>
  <c r="L52" i="1"/>
  <c r="J52" i="1"/>
  <c r="H52" i="1"/>
  <c r="D52" i="1"/>
  <c r="N51" i="1"/>
  <c r="L51" i="1"/>
  <c r="J51" i="1"/>
  <c r="H51" i="1"/>
  <c r="D51" i="1"/>
  <c r="N50" i="1"/>
  <c r="L50" i="1"/>
  <c r="J50" i="1"/>
  <c r="H50" i="1"/>
  <c r="D50" i="1"/>
  <c r="N49" i="1"/>
  <c r="L49" i="1"/>
  <c r="J49" i="1"/>
  <c r="H49" i="1"/>
  <c r="D49" i="1"/>
  <c r="N48" i="1"/>
  <c r="L48" i="1"/>
  <c r="J48" i="1"/>
  <c r="H48" i="1"/>
  <c r="D48" i="1"/>
  <c r="N47" i="1"/>
  <c r="L47" i="1"/>
  <c r="J47" i="1"/>
  <c r="H47" i="1"/>
  <c r="D47" i="1"/>
  <c r="N46" i="1"/>
  <c r="L46" i="1"/>
  <c r="J46" i="1"/>
  <c r="H46" i="1"/>
  <c r="D46" i="1"/>
  <c r="N45" i="1"/>
  <c r="L45" i="1"/>
  <c r="J45" i="1"/>
  <c r="H45" i="1"/>
  <c r="D45" i="1"/>
  <c r="N44" i="1"/>
  <c r="L44" i="1"/>
  <c r="J44" i="1"/>
  <c r="H44" i="1"/>
  <c r="D44" i="1"/>
  <c r="N43" i="1"/>
  <c r="L43" i="1"/>
  <c r="J43" i="1"/>
  <c r="H43" i="1"/>
  <c r="D43" i="1"/>
  <c r="N42" i="1"/>
  <c r="L42" i="1"/>
  <c r="J42" i="1"/>
  <c r="H42" i="1"/>
  <c r="D42" i="1"/>
  <c r="N41" i="1"/>
  <c r="L41" i="1"/>
  <c r="J41" i="1"/>
  <c r="H41" i="1"/>
  <c r="D41" i="1"/>
  <c r="N40" i="1"/>
  <c r="L40" i="1"/>
  <c r="J40" i="1"/>
  <c r="H40" i="1"/>
  <c r="D40" i="1"/>
  <c r="N39" i="1"/>
  <c r="L39" i="1"/>
  <c r="J39" i="1"/>
  <c r="H39" i="1"/>
  <c r="D39" i="1"/>
  <c r="N38" i="1"/>
  <c r="L38" i="1"/>
  <c r="J38" i="1"/>
  <c r="H38" i="1"/>
  <c r="D38" i="1"/>
  <c r="N37" i="1"/>
  <c r="L37" i="1"/>
  <c r="J37" i="1"/>
  <c r="H37" i="1"/>
  <c r="D37" i="1"/>
  <c r="N36" i="1"/>
  <c r="L36" i="1"/>
  <c r="J36" i="1"/>
  <c r="H36" i="1"/>
  <c r="D36" i="1"/>
  <c r="N35" i="1"/>
  <c r="L35" i="1"/>
  <c r="J35" i="1"/>
  <c r="H35" i="1"/>
  <c r="D35" i="1"/>
  <c r="N34" i="1"/>
  <c r="L34" i="1"/>
  <c r="J34" i="1"/>
  <c r="H34" i="1"/>
  <c r="D34" i="1"/>
  <c r="N33" i="1"/>
  <c r="L33" i="1"/>
  <c r="J33" i="1"/>
  <c r="H33" i="1"/>
  <c r="D33" i="1"/>
  <c r="N32" i="1"/>
  <c r="L32" i="1"/>
  <c r="J32" i="1"/>
  <c r="H32" i="1"/>
  <c r="D32" i="1"/>
  <c r="N31" i="1"/>
  <c r="L31" i="1"/>
  <c r="J31" i="1"/>
  <c r="H31" i="1"/>
  <c r="D31" i="1"/>
  <c r="N30" i="1"/>
  <c r="L30" i="1"/>
  <c r="J30" i="1"/>
  <c r="H30" i="1"/>
  <c r="D30" i="1"/>
  <c r="N29" i="1"/>
  <c r="L29" i="1"/>
  <c r="J29" i="1"/>
  <c r="H29" i="1"/>
  <c r="D29" i="1"/>
  <c r="N28" i="1"/>
  <c r="L28" i="1"/>
  <c r="J28" i="1"/>
  <c r="H28" i="1"/>
  <c r="D28" i="1"/>
  <c r="N27" i="1"/>
  <c r="L27" i="1"/>
  <c r="J27" i="1"/>
  <c r="H27" i="1"/>
  <c r="D27" i="1"/>
  <c r="N26" i="1"/>
  <c r="L26" i="1"/>
  <c r="J26" i="1"/>
  <c r="H26" i="1"/>
  <c r="D26" i="1"/>
  <c r="N25" i="1"/>
  <c r="L25" i="1"/>
  <c r="J25" i="1"/>
  <c r="H25" i="1"/>
  <c r="D25" i="1"/>
  <c r="N24" i="1"/>
  <c r="L24" i="1"/>
  <c r="J24" i="1"/>
  <c r="H24" i="1"/>
  <c r="D24" i="1"/>
  <c r="N23" i="1"/>
  <c r="L23" i="1"/>
  <c r="J23" i="1"/>
  <c r="H23" i="1"/>
  <c r="D23" i="1"/>
  <c r="N22" i="1"/>
  <c r="L22" i="1"/>
  <c r="J22" i="1"/>
  <c r="H22" i="1"/>
  <c r="D22" i="1"/>
  <c r="N21" i="1"/>
  <c r="L21" i="1"/>
  <c r="J21" i="1"/>
  <c r="H21" i="1"/>
  <c r="D21" i="1"/>
  <c r="N20" i="1"/>
  <c r="L20" i="1"/>
  <c r="J20" i="1"/>
  <c r="H20" i="1"/>
  <c r="D20" i="1"/>
  <c r="N19" i="1"/>
  <c r="L19" i="1"/>
  <c r="J19" i="1"/>
  <c r="H19" i="1"/>
  <c r="D19" i="1"/>
  <c r="N18" i="1"/>
  <c r="L18" i="1"/>
  <c r="J18" i="1"/>
  <c r="H18" i="1"/>
  <c r="D18" i="1"/>
  <c r="N17" i="1"/>
  <c r="L17" i="1"/>
  <c r="J17" i="1"/>
  <c r="H17" i="1"/>
  <c r="D17" i="1"/>
  <c r="N16" i="1"/>
  <c r="L16" i="1"/>
  <c r="J16" i="1"/>
  <c r="H16" i="1"/>
  <c r="D16" i="1"/>
  <c r="N15" i="1"/>
  <c r="L15" i="1"/>
  <c r="J15" i="1"/>
  <c r="H15" i="1"/>
  <c r="D15" i="1"/>
  <c r="N14" i="1"/>
  <c r="L14" i="1"/>
  <c r="J14" i="1"/>
  <c r="H14" i="1"/>
  <c r="D14" i="1"/>
  <c r="N13" i="1"/>
  <c r="L13" i="1"/>
  <c r="J13" i="1"/>
  <c r="H13" i="1"/>
  <c r="D13" i="1"/>
  <c r="N12" i="1"/>
  <c r="L12" i="1"/>
  <c r="J12" i="1"/>
  <c r="H12" i="1"/>
  <c r="D12" i="1"/>
  <c r="N11" i="1"/>
  <c r="L11" i="1"/>
  <c r="J11" i="1"/>
  <c r="H11" i="1"/>
  <c r="D11" i="1"/>
  <c r="N10" i="1"/>
  <c r="L10" i="1"/>
  <c r="J10" i="1"/>
  <c r="H10" i="1"/>
  <c r="D10" i="1"/>
  <c r="N9" i="1"/>
  <c r="L9" i="1"/>
  <c r="J9" i="1"/>
  <c r="H9" i="1"/>
  <c r="D9" i="1"/>
  <c r="N8" i="1"/>
  <c r="L8" i="1"/>
  <c r="J8" i="1"/>
  <c r="H8" i="1"/>
  <c r="D8" i="1"/>
  <c r="N7" i="1"/>
  <c r="L7" i="1"/>
  <c r="J7" i="1"/>
  <c r="H7" i="1"/>
  <c r="D7" i="1"/>
  <c r="N6" i="1"/>
  <c r="L6" i="1"/>
  <c r="J6" i="1"/>
  <c r="H6" i="1"/>
  <c r="D6" i="1"/>
  <c r="N5" i="1"/>
  <c r="L5" i="1"/>
  <c r="J5" i="1"/>
  <c r="H5" i="1"/>
  <c r="D5" i="1"/>
  <c r="N4" i="1"/>
  <c r="L4" i="1"/>
  <c r="J4" i="1"/>
  <c r="H4" i="1"/>
  <c r="D4" i="1"/>
  <c r="N3" i="1"/>
  <c r="L3" i="1"/>
  <c r="J3" i="1"/>
  <c r="H3" i="1"/>
  <c r="D3" i="1"/>
  <c r="N2" i="1"/>
  <c r="L2" i="1"/>
  <c r="J2" i="1"/>
  <c r="H2" i="1"/>
  <c r="D2" i="1"/>
</calcChain>
</file>

<file path=xl/sharedStrings.xml><?xml version="1.0" encoding="utf-8"?>
<sst xmlns="http://schemas.openxmlformats.org/spreadsheetml/2006/main" count="228" uniqueCount="38">
  <si>
    <t>co</t>
  </si>
  <si>
    <t>t</t>
  </si>
  <si>
    <t>p</t>
  </si>
  <si>
    <t>lnp</t>
  </si>
  <si>
    <t>r</t>
  </si>
  <si>
    <t>Infla</t>
  </si>
  <si>
    <t>gdp</t>
  </si>
  <si>
    <t>m1</t>
  </si>
  <si>
    <t>lnm1</t>
  </si>
  <si>
    <t>rev</t>
  </si>
  <si>
    <t>lnrev</t>
  </si>
  <si>
    <t>capex</t>
  </si>
  <si>
    <t>lncapex</t>
  </si>
  <si>
    <t>eps</t>
  </si>
  <si>
    <t>divbm</t>
  </si>
  <si>
    <t>ma</t>
  </si>
  <si>
    <t>STB</t>
  </si>
  <si>
    <t>VIC</t>
  </si>
  <si>
    <t>MSN</t>
  </si>
  <si>
    <t>FPT</t>
  </si>
  <si>
    <t>VNM</t>
  </si>
  <si>
    <t>VCB</t>
  </si>
  <si>
    <t>HPG</t>
  </si>
  <si>
    <t>SSI</t>
  </si>
  <si>
    <t>MBB</t>
  </si>
  <si>
    <t>CTG</t>
  </si>
  <si>
    <t>GMD</t>
  </si>
  <si>
    <t>PVD</t>
  </si>
  <si>
    <t>HAG</t>
  </si>
  <si>
    <t>KDC</t>
  </si>
  <si>
    <t>BVH</t>
  </si>
  <si>
    <t>SBT</t>
  </si>
  <si>
    <t>DPM</t>
  </si>
  <si>
    <t>SHB</t>
  </si>
  <si>
    <t>GAS</t>
  </si>
  <si>
    <t>roae</t>
  </si>
  <si>
    <t>roaa</t>
  </si>
  <si>
    <t>lngdp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</si>
</sst>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00"/>
    <numFmt numFmtId="166" formatCode="_-* #,##0.0000_-;\-* #,##0.0000_-;_-* &quot;-&quot;??_-;_-@_-"/>
  </numFmts>
  <fonts count="6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rgb="FF000000"/>
      <name val="Cordia New"/>
      <family val="2"/>
      <charset val="222"/>
    </font>
    <font>
      <sz val="11"/>
      <color theme="1"/>
      <name val="Cordia New"/>
      <family val="2"/>
      <charset val="222"/>
    </font>
    <font>
      <sz val="11"/>
      <name val="Cordia New"/>
      <family val="2"/>
      <charset val="222"/>
    </font>
    <font>
      <sz val="11"/>
      <color rgb="FF333333"/>
      <name val="Cordia New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4" fontId="2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4" fontId="3" fillId="2" borderId="0" xfId="0" applyNumberFormat="1" applyFont="1" applyFill="1" applyAlignment="1">
      <alignment horizontal="center" vertical="center"/>
    </xf>
    <xf numFmtId="166" fontId="3" fillId="2" borderId="0" xfId="1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164" fontId="3" fillId="2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4" fontId="3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3" fillId="2" borderId="0" xfId="1" applyNumberFormat="1" applyFont="1" applyFill="1" applyBorder="1" applyAlignment="1">
      <alignment horizontal="center" vertical="center"/>
    </xf>
    <xf numFmtId="165" fontId="3" fillId="2" borderId="0" xfId="1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6" fontId="3" fillId="2" borderId="0" xfId="1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1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B865-5230-4297-AD29-5194CD1FD3ED}">
  <dimension ref="A1:S210"/>
  <sheetViews>
    <sheetView showGridLines="0" tabSelected="1" topLeftCell="A75" zoomScale="130" zoomScaleNormal="130" workbookViewId="0">
      <selection activeCell="H1" sqref="H1"/>
    </sheetView>
  </sheetViews>
  <sheetFormatPr defaultRowHeight="14.4" x14ac:dyDescent="0.3"/>
  <cols>
    <col min="11" max="11" width="9.33203125" bestFit="1" customWidth="1"/>
  </cols>
  <sheetData>
    <row r="1" spans="1:19" ht="16.8" x14ac:dyDescent="0.3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3" t="s">
        <v>5</v>
      </c>
      <c r="G1" s="23" t="s">
        <v>6</v>
      </c>
      <c r="H1" s="24" t="s">
        <v>37</v>
      </c>
      <c r="I1" s="25" t="s">
        <v>7</v>
      </c>
      <c r="J1" s="24" t="s">
        <v>8</v>
      </c>
      <c r="K1" s="24" t="s">
        <v>9</v>
      </c>
      <c r="L1" s="24" t="s">
        <v>10</v>
      </c>
      <c r="M1" s="12" t="s">
        <v>11</v>
      </c>
      <c r="N1" s="24" t="s">
        <v>12</v>
      </c>
      <c r="O1" s="5" t="s">
        <v>13</v>
      </c>
      <c r="P1" s="23" t="s">
        <v>14</v>
      </c>
      <c r="Q1" s="9" t="s">
        <v>15</v>
      </c>
      <c r="R1" s="15" t="s">
        <v>35</v>
      </c>
      <c r="S1" s="11" t="s">
        <v>36</v>
      </c>
    </row>
    <row r="2" spans="1:19" ht="16.8" x14ac:dyDescent="0.3">
      <c r="A2" s="1" t="s">
        <v>16</v>
      </c>
      <c r="B2" s="20">
        <v>2012</v>
      </c>
      <c r="C2" s="3">
        <v>14.007999999999999</v>
      </c>
      <c r="D2" s="4">
        <f>LOG(C2)</f>
        <v>1.1463761330753897</v>
      </c>
      <c r="E2" s="3">
        <v>4.03</v>
      </c>
      <c r="F2" s="3">
        <v>9.0947033959999999</v>
      </c>
      <c r="G2" s="5">
        <v>195590647.20568466</v>
      </c>
      <c r="H2" s="4">
        <f>LOG(G2)</f>
        <v>8.2913480837640794</v>
      </c>
      <c r="I2" s="6">
        <v>1371.8420000000001</v>
      </c>
      <c r="J2" s="4">
        <f>LOG(I2)</f>
        <v>3.1373040949862498</v>
      </c>
      <c r="K2" s="7">
        <v>24861850</v>
      </c>
      <c r="L2" s="4">
        <f>LOG(K2)</f>
        <v>7.3955334418799676</v>
      </c>
      <c r="M2" s="8">
        <v>862247</v>
      </c>
      <c r="N2" s="4">
        <f>LOG(M2)</f>
        <v>5.9356316920093182</v>
      </c>
      <c r="O2" s="5">
        <v>1029</v>
      </c>
      <c r="P2" s="5">
        <v>1</v>
      </c>
      <c r="Q2" s="9">
        <v>1</v>
      </c>
      <c r="R2" s="10">
        <v>7.1</v>
      </c>
      <c r="S2" s="11">
        <v>0.68</v>
      </c>
    </row>
    <row r="3" spans="1:19" ht="16.8" x14ac:dyDescent="0.3">
      <c r="A3" s="1" t="s">
        <v>16</v>
      </c>
      <c r="B3" s="2">
        <v>2013</v>
      </c>
      <c r="C3" s="3">
        <v>14.275</v>
      </c>
      <c r="D3" s="4">
        <f t="shared" ref="D3:D66" si="0">LOG(C3)</f>
        <v>1.1545761169178856</v>
      </c>
      <c r="E3" s="3">
        <v>6.09</v>
      </c>
      <c r="F3" s="3">
        <v>6.5926747590000003</v>
      </c>
      <c r="G3" s="5">
        <v>213708830.7769472</v>
      </c>
      <c r="H3" s="4">
        <f t="shared" ref="H3:H66" si="1">LOG(G3)</f>
        <v>8.3298224682495192</v>
      </c>
      <c r="I3" s="6">
        <v>3851</v>
      </c>
      <c r="J3" s="4">
        <f t="shared" ref="J3:N66" si="2">LOG(I3)</f>
        <v>3.5855735186227311</v>
      </c>
      <c r="K3" s="7">
        <v>25393023</v>
      </c>
      <c r="L3" s="4">
        <f t="shared" si="2"/>
        <v>7.4047144060359118</v>
      </c>
      <c r="M3" s="8">
        <v>412472</v>
      </c>
      <c r="N3" s="4">
        <f t="shared" si="2"/>
        <v>5.6153944725023726</v>
      </c>
      <c r="O3" s="5">
        <v>2106</v>
      </c>
      <c r="P3" s="5">
        <v>1</v>
      </c>
      <c r="Q3" s="9">
        <v>0</v>
      </c>
      <c r="R3" s="10">
        <v>14.49</v>
      </c>
      <c r="S3" s="11">
        <v>1.42</v>
      </c>
    </row>
    <row r="4" spans="1:19" ht="16.8" x14ac:dyDescent="0.3">
      <c r="A4" s="1" t="s">
        <v>16</v>
      </c>
      <c r="B4" s="20">
        <v>2014</v>
      </c>
      <c r="C4" s="3">
        <v>14.936</v>
      </c>
      <c r="D4" s="4">
        <f t="shared" si="0"/>
        <v>1.174234304941022</v>
      </c>
      <c r="E4" s="3">
        <v>4.79</v>
      </c>
      <c r="F4" s="3">
        <v>4.0845544660000002</v>
      </c>
      <c r="G4" s="5">
        <v>233451484.77397391</v>
      </c>
      <c r="H4" s="4">
        <f t="shared" si="1"/>
        <v>8.368196640430428</v>
      </c>
      <c r="I4" s="6">
        <v>4613.2619999999997</v>
      </c>
      <c r="J4" s="4">
        <f t="shared" si="2"/>
        <v>3.6640081201021122</v>
      </c>
      <c r="K4" s="7">
        <v>25684711</v>
      </c>
      <c r="L4" s="4">
        <f t="shared" si="2"/>
        <v>7.4096746834801968</v>
      </c>
      <c r="M4" s="8">
        <v>505660</v>
      </c>
      <c r="N4" s="4">
        <f t="shared" si="2"/>
        <v>5.7038586003275196</v>
      </c>
      <c r="O4" s="5">
        <v>1931</v>
      </c>
      <c r="P4" s="5">
        <v>0</v>
      </c>
      <c r="Q4" s="9">
        <v>0</v>
      </c>
      <c r="R4" s="10">
        <v>12.56</v>
      </c>
      <c r="S4" s="11">
        <v>1.26</v>
      </c>
    </row>
    <row r="5" spans="1:19" ht="16.8" x14ac:dyDescent="0.3">
      <c r="A5" s="1" t="s">
        <v>16</v>
      </c>
      <c r="B5" s="2">
        <v>2015</v>
      </c>
      <c r="C5" s="3">
        <v>13.101000000000001</v>
      </c>
      <c r="D5" s="4">
        <f t="shared" si="0"/>
        <v>1.1173044466410025</v>
      </c>
      <c r="E5" s="3">
        <v>8.99</v>
      </c>
      <c r="F5" s="3">
        <v>0.63120090500000003</v>
      </c>
      <c r="G5" s="5">
        <v>239258340.825533</v>
      </c>
      <c r="H5" s="4">
        <f t="shared" si="1"/>
        <v>8.3788670867262596</v>
      </c>
      <c r="I5" s="6">
        <v>1456.114</v>
      </c>
      <c r="J5" s="4">
        <f t="shared" si="2"/>
        <v>3.1631953774720869</v>
      </c>
      <c r="K5" s="7">
        <v>26857560</v>
      </c>
      <c r="L5" s="4">
        <f t="shared" si="2"/>
        <v>7.4290665546219703</v>
      </c>
      <c r="M5" s="8">
        <v>552421</v>
      </c>
      <c r="N5" s="4">
        <f t="shared" si="2"/>
        <v>5.7422701797016122</v>
      </c>
      <c r="O5" s="5">
        <v>525</v>
      </c>
      <c r="P5" s="5">
        <v>1</v>
      </c>
      <c r="Q5" s="9">
        <v>1</v>
      </c>
      <c r="R5" s="10">
        <v>3.23</v>
      </c>
      <c r="S5" s="11">
        <v>0.27</v>
      </c>
    </row>
    <row r="6" spans="1:19" ht="16.8" x14ac:dyDescent="0.3">
      <c r="A6" s="1" t="s">
        <v>16</v>
      </c>
      <c r="B6" s="20">
        <v>2016</v>
      </c>
      <c r="C6" s="3">
        <v>9.4510000000000005</v>
      </c>
      <c r="D6" s="4">
        <f t="shared" si="0"/>
        <v>0.97547776316587465</v>
      </c>
      <c r="E6" s="3">
        <v>5.05</v>
      </c>
      <c r="F6" s="3">
        <v>2.66824817</v>
      </c>
      <c r="G6" s="5">
        <v>257096001.17407501</v>
      </c>
      <c r="H6" s="4">
        <f t="shared" si="1"/>
        <v>8.4100953217555041</v>
      </c>
      <c r="I6" s="6">
        <v>1713.8320000000001</v>
      </c>
      <c r="J6" s="4">
        <f t="shared" si="2"/>
        <v>3.2339682475469802</v>
      </c>
      <c r="K6" s="7">
        <v>27601460</v>
      </c>
      <c r="L6" s="4">
        <f t="shared" si="2"/>
        <v>7.4409320550062859</v>
      </c>
      <c r="M6" s="8">
        <v>461400</v>
      </c>
      <c r="N6" s="4">
        <f t="shared" si="2"/>
        <v>5.6640775901850748</v>
      </c>
      <c r="O6" s="5">
        <v>49</v>
      </c>
      <c r="P6" s="5">
        <v>1</v>
      </c>
      <c r="Q6" s="9">
        <v>0</v>
      </c>
      <c r="R6" s="10">
        <v>0.4</v>
      </c>
      <c r="S6" s="11">
        <v>0.03</v>
      </c>
    </row>
    <row r="7" spans="1:19" ht="16.8" x14ac:dyDescent="0.3">
      <c r="A7" s="1" t="s">
        <v>16</v>
      </c>
      <c r="B7" s="2">
        <v>2017</v>
      </c>
      <c r="C7" s="3">
        <v>12.85</v>
      </c>
      <c r="D7" s="4">
        <f t="shared" si="0"/>
        <v>1.1089031276673134</v>
      </c>
      <c r="E7" s="3">
        <v>2.59</v>
      </c>
      <c r="F7" s="3">
        <v>3.520256888</v>
      </c>
      <c r="G7" s="5">
        <v>281353626.10724455</v>
      </c>
      <c r="H7" s="4">
        <f t="shared" si="1"/>
        <v>8.4492525167468759</v>
      </c>
      <c r="I7" s="6">
        <v>1982.009</v>
      </c>
      <c r="J7" s="4">
        <f t="shared" si="2"/>
        <v>3.2971056222186119</v>
      </c>
      <c r="K7" s="7">
        <v>34370732</v>
      </c>
      <c r="L7" s="4">
        <f t="shared" si="2"/>
        <v>7.5361887814876907</v>
      </c>
      <c r="M7" s="8">
        <v>618242</v>
      </c>
      <c r="N7" s="4">
        <f t="shared" si="2"/>
        <v>5.791158505335261</v>
      </c>
      <c r="O7" s="5">
        <v>555</v>
      </c>
      <c r="P7" s="5">
        <v>1</v>
      </c>
      <c r="Q7" s="9">
        <v>0</v>
      </c>
      <c r="R7" s="10">
        <v>4.4000000000000004</v>
      </c>
      <c r="S7" s="11">
        <v>0.28999999999999998</v>
      </c>
    </row>
    <row r="8" spans="1:19" ht="16.8" x14ac:dyDescent="0.3">
      <c r="A8" s="1" t="s">
        <v>16</v>
      </c>
      <c r="B8" s="20">
        <v>2018</v>
      </c>
      <c r="C8" s="3">
        <v>11.147</v>
      </c>
      <c r="D8" s="4">
        <f t="shared" si="0"/>
        <v>1.047158001128309</v>
      </c>
      <c r="E8" s="3">
        <v>3.61</v>
      </c>
      <c r="F8" s="3">
        <v>3.5396280590000004</v>
      </c>
      <c r="G8" s="5">
        <v>310106472.64296824</v>
      </c>
      <c r="H8" s="4">
        <f t="shared" si="1"/>
        <v>8.4915108310673428</v>
      </c>
      <c r="I8" s="6">
        <v>2174.0329999999999</v>
      </c>
      <c r="J8" s="4">
        <f t="shared" si="2"/>
        <v>3.3372661320267847</v>
      </c>
      <c r="K8" s="7">
        <v>43124188</v>
      </c>
      <c r="L8" s="4">
        <f t="shared" si="2"/>
        <v>7.6347209306798387</v>
      </c>
      <c r="M8" s="8">
        <v>1053926</v>
      </c>
      <c r="N8" s="4">
        <f t="shared" si="2"/>
        <v>6.0228101185426661</v>
      </c>
      <c r="O8" s="5">
        <v>993</v>
      </c>
      <c r="P8" s="5">
        <v>1</v>
      </c>
      <c r="Q8" s="9">
        <v>0</v>
      </c>
      <c r="R8" s="10">
        <v>7.48</v>
      </c>
      <c r="S8" s="11">
        <v>0.46</v>
      </c>
    </row>
    <row r="9" spans="1:19" ht="16.8" x14ac:dyDescent="0.3">
      <c r="A9" s="1" t="s">
        <v>16</v>
      </c>
      <c r="B9" s="2">
        <v>2019</v>
      </c>
      <c r="C9" s="3">
        <v>10.199</v>
      </c>
      <c r="D9" s="4">
        <f t="shared" si="0"/>
        <v>1.0085575917842469</v>
      </c>
      <c r="E9" s="3">
        <v>5.16</v>
      </c>
      <c r="F9" s="3">
        <v>2.7958236749999998</v>
      </c>
      <c r="G9" s="5">
        <v>334365257.9202888</v>
      </c>
      <c r="H9" s="4">
        <f t="shared" si="1"/>
        <v>8.5242211459280064</v>
      </c>
      <c r="I9" s="6">
        <v>2456.665</v>
      </c>
      <c r="J9" s="4">
        <f t="shared" si="2"/>
        <v>3.3903459385025987</v>
      </c>
      <c r="K9" s="7">
        <v>52111699</v>
      </c>
      <c r="L9" s="4">
        <f t="shared" si="2"/>
        <v>7.7169352327195586</v>
      </c>
      <c r="M9" s="8">
        <v>885024</v>
      </c>
      <c r="N9" s="4">
        <f t="shared" si="2"/>
        <v>5.9469550480156093</v>
      </c>
      <c r="O9" s="5">
        <v>1361</v>
      </c>
      <c r="P9" s="5">
        <v>1</v>
      </c>
      <c r="Q9" s="9">
        <v>0</v>
      </c>
      <c r="R9" s="10">
        <v>9.56</v>
      </c>
      <c r="S9" s="11">
        <v>0.56999999999999995</v>
      </c>
    </row>
    <row r="10" spans="1:19" ht="16.8" x14ac:dyDescent="0.3">
      <c r="A10" s="1" t="s">
        <v>16</v>
      </c>
      <c r="B10" s="20">
        <v>2020</v>
      </c>
      <c r="C10" s="3">
        <v>16.888000000000002</v>
      </c>
      <c r="D10" s="4">
        <f t="shared" si="0"/>
        <v>1.2275782202996</v>
      </c>
      <c r="E10" s="3">
        <v>6.09</v>
      </c>
      <c r="F10" s="3">
        <v>3.2209343669999999</v>
      </c>
      <c r="G10" s="5">
        <v>346615750.1665532</v>
      </c>
      <c r="H10" s="4">
        <f t="shared" si="1"/>
        <v>8.5398482931009561</v>
      </c>
      <c r="I10" s="6">
        <v>2627.819</v>
      </c>
      <c r="J10" s="4">
        <f t="shared" si="2"/>
        <v>3.4195954484035971</v>
      </c>
      <c r="K10" s="7">
        <v>58393139</v>
      </c>
      <c r="L10" s="4">
        <f t="shared" si="2"/>
        <v>7.7663618219499755</v>
      </c>
      <c r="M10" s="8">
        <v>981278</v>
      </c>
      <c r="N10" s="4">
        <f t="shared" si="2"/>
        <v>5.9917920621833725</v>
      </c>
      <c r="O10" s="5">
        <v>1487</v>
      </c>
      <c r="P10" s="5">
        <v>1</v>
      </c>
      <c r="Q10" s="9">
        <v>0</v>
      </c>
      <c r="R10" s="10">
        <v>9.6300000000000008</v>
      </c>
      <c r="S10" s="11">
        <v>0.56999999999999995</v>
      </c>
    </row>
    <row r="11" spans="1:19" ht="16.8" x14ac:dyDescent="0.3">
      <c r="A11" s="1" t="s">
        <v>16</v>
      </c>
      <c r="B11" s="2">
        <v>2021</v>
      </c>
      <c r="C11" s="3">
        <v>31.503</v>
      </c>
      <c r="D11" s="4">
        <f t="shared" si="0"/>
        <v>1.498351913199365</v>
      </c>
      <c r="E11" s="3">
        <v>4.9000000000000004</v>
      </c>
      <c r="F11" s="3">
        <v>1.8347155479999999</v>
      </c>
      <c r="G11" s="5">
        <v>366137590.71780437</v>
      </c>
      <c r="H11" s="4">
        <f t="shared" si="1"/>
        <v>8.5636443194393905</v>
      </c>
      <c r="I11" s="6">
        <v>3528.607</v>
      </c>
      <c r="J11" s="4">
        <f t="shared" si="2"/>
        <v>3.5476032913337052</v>
      </c>
      <c r="K11" s="7">
        <v>55631104</v>
      </c>
      <c r="L11" s="4">
        <f t="shared" si="2"/>
        <v>7.745317678606126</v>
      </c>
      <c r="M11" s="8">
        <v>606832</v>
      </c>
      <c r="N11" s="4">
        <f t="shared" si="2"/>
        <v>5.7830684743180365</v>
      </c>
      <c r="O11" s="5">
        <v>1856</v>
      </c>
      <c r="P11" s="5">
        <v>1</v>
      </c>
      <c r="Q11" s="9">
        <v>0</v>
      </c>
      <c r="R11" s="10">
        <v>10.79</v>
      </c>
      <c r="S11" s="11">
        <v>0.67</v>
      </c>
    </row>
    <row r="12" spans="1:19" ht="16.8" x14ac:dyDescent="0.3">
      <c r="A12" s="1" t="s">
        <v>16</v>
      </c>
      <c r="B12" s="20">
        <v>2022</v>
      </c>
      <c r="C12" s="3">
        <v>22.491</v>
      </c>
      <c r="D12" s="4">
        <f t="shared" si="0"/>
        <v>1.3520087655657749</v>
      </c>
      <c r="E12" s="3">
        <v>4</v>
      </c>
      <c r="F12" s="3">
        <v>3.1565075</v>
      </c>
      <c r="G12" s="5">
        <v>408802379.0682286</v>
      </c>
      <c r="H12" s="4">
        <f t="shared" si="1"/>
        <v>8.6115134145561996</v>
      </c>
      <c r="I12" s="6">
        <v>3265.64</v>
      </c>
      <c r="J12" s="4">
        <f t="shared" si="2"/>
        <v>3.5139683069680525</v>
      </c>
      <c r="K12" s="7">
        <v>75791003</v>
      </c>
      <c r="L12" s="4">
        <f t="shared" si="2"/>
        <v>7.8796176544531455</v>
      </c>
      <c r="M12" s="8">
        <v>1142501</v>
      </c>
      <c r="N12" s="4">
        <f t="shared" si="2"/>
        <v>6.0578565888681828</v>
      </c>
      <c r="O12" s="5">
        <v>2674</v>
      </c>
      <c r="P12" s="5">
        <v>1</v>
      </c>
      <c r="Q12" s="9">
        <v>0</v>
      </c>
      <c r="R12" s="10">
        <v>13.83</v>
      </c>
      <c r="S12" s="11">
        <v>0.91</v>
      </c>
    </row>
    <row r="13" spans="1:19" ht="16.8" x14ac:dyDescent="0.3">
      <c r="A13" s="1" t="s">
        <v>17</v>
      </c>
      <c r="B13" s="20">
        <v>2012</v>
      </c>
      <c r="C13" s="3">
        <v>16.986999999999998</v>
      </c>
      <c r="D13" s="4">
        <f t="shared" si="0"/>
        <v>1.2301166867862192</v>
      </c>
      <c r="E13" s="3">
        <v>4.03</v>
      </c>
      <c r="F13" s="3">
        <v>9.0947033959999999</v>
      </c>
      <c r="G13" s="5">
        <v>195590647.20568466</v>
      </c>
      <c r="H13" s="4">
        <f t="shared" si="1"/>
        <v>8.2913480837640794</v>
      </c>
      <c r="I13" s="6">
        <v>1371.8420000000001</v>
      </c>
      <c r="J13" s="4">
        <f t="shared" si="2"/>
        <v>3.1373040949862498</v>
      </c>
      <c r="K13" s="7">
        <v>7904473</v>
      </c>
      <c r="L13" s="4">
        <f t="shared" si="2"/>
        <v>6.8978729203376261</v>
      </c>
      <c r="M13" s="12">
        <v>2921880.55</v>
      </c>
      <c r="N13" s="4">
        <f t="shared" si="2"/>
        <v>6.4656624574791008</v>
      </c>
      <c r="O13" s="5">
        <v>2523</v>
      </c>
      <c r="P13" s="5">
        <v>1</v>
      </c>
      <c r="Q13" s="9">
        <v>1</v>
      </c>
      <c r="R13" s="10">
        <v>18.420000000000002</v>
      </c>
      <c r="S13" s="11">
        <v>3.44</v>
      </c>
    </row>
    <row r="14" spans="1:19" ht="16.8" x14ac:dyDescent="0.3">
      <c r="A14" s="1" t="s">
        <v>17</v>
      </c>
      <c r="B14" s="2">
        <v>2013</v>
      </c>
      <c r="C14" s="3">
        <v>19.797999999999998</v>
      </c>
      <c r="D14" s="4">
        <f t="shared" si="0"/>
        <v>1.2966213199163346</v>
      </c>
      <c r="E14" s="3">
        <v>6.09</v>
      </c>
      <c r="F14" s="3">
        <v>6.5926747590000003</v>
      </c>
      <c r="G14" s="5">
        <v>213708830.7769472</v>
      </c>
      <c r="H14" s="4">
        <f t="shared" si="1"/>
        <v>8.3298224682495192</v>
      </c>
      <c r="I14" s="6">
        <v>3851</v>
      </c>
      <c r="J14" s="4">
        <f t="shared" si="2"/>
        <v>3.5855735186227311</v>
      </c>
      <c r="K14" s="7">
        <v>18377639</v>
      </c>
      <c r="L14" s="4">
        <f t="shared" si="2"/>
        <v>7.2642897162375659</v>
      </c>
      <c r="M14" s="12">
        <v>8589796.7229999993</v>
      </c>
      <c r="N14" s="4">
        <f t="shared" si="2"/>
        <v>6.9339828864012087</v>
      </c>
      <c r="O14" s="5">
        <v>7609</v>
      </c>
      <c r="P14" s="5">
        <v>1</v>
      </c>
      <c r="Q14" s="9">
        <v>1</v>
      </c>
      <c r="R14" s="10">
        <v>54.17</v>
      </c>
      <c r="S14" s="11">
        <v>10.3</v>
      </c>
    </row>
    <row r="15" spans="1:19" ht="16.8" x14ac:dyDescent="0.3">
      <c r="A15" s="1" t="s">
        <v>17</v>
      </c>
      <c r="B15" s="20">
        <v>2014</v>
      </c>
      <c r="C15" s="3">
        <v>20.504999999999999</v>
      </c>
      <c r="D15" s="4">
        <f t="shared" si="0"/>
        <v>1.3118597736235036</v>
      </c>
      <c r="E15" s="3">
        <v>4.79</v>
      </c>
      <c r="F15" s="3">
        <v>4.0845544660000002</v>
      </c>
      <c r="G15" s="5">
        <v>233451484.77397391</v>
      </c>
      <c r="H15" s="4">
        <f t="shared" si="1"/>
        <v>8.368196640430428</v>
      </c>
      <c r="I15" s="6">
        <v>4613.2619999999997</v>
      </c>
      <c r="J15" s="4">
        <f t="shared" si="2"/>
        <v>3.6640081201021122</v>
      </c>
      <c r="K15" s="7">
        <v>27723633</v>
      </c>
      <c r="L15" s="4">
        <f t="shared" si="2"/>
        <v>7.4428501411081891</v>
      </c>
      <c r="M15" s="12">
        <v>12078574.548</v>
      </c>
      <c r="N15" s="4">
        <f t="shared" si="2"/>
        <v>7.0820156840809831</v>
      </c>
      <c r="O15" s="5">
        <v>2970</v>
      </c>
      <c r="P15" s="5">
        <v>1</v>
      </c>
      <c r="Q15" s="9">
        <v>1</v>
      </c>
      <c r="R15" s="10">
        <v>18.12</v>
      </c>
      <c r="S15" s="11">
        <v>3.8</v>
      </c>
    </row>
    <row r="16" spans="1:19" ht="16.8" x14ac:dyDescent="0.3">
      <c r="A16" s="1" t="s">
        <v>17</v>
      </c>
      <c r="B16" s="2">
        <v>2015</v>
      </c>
      <c r="C16" s="3">
        <v>24.675000000000001</v>
      </c>
      <c r="D16" s="4">
        <f t="shared" si="0"/>
        <v>1.3922571613416743</v>
      </c>
      <c r="E16" s="3">
        <v>8.99</v>
      </c>
      <c r="F16" s="3">
        <v>0.63120090500000003</v>
      </c>
      <c r="G16" s="5">
        <v>239258340.82553262</v>
      </c>
      <c r="H16" s="4">
        <f t="shared" si="1"/>
        <v>8.3788670867262578</v>
      </c>
      <c r="I16" s="6">
        <v>1456.114</v>
      </c>
      <c r="J16" s="4">
        <f t="shared" si="2"/>
        <v>3.1631953774720869</v>
      </c>
      <c r="K16" s="7">
        <v>34047966</v>
      </c>
      <c r="L16" s="4">
        <f t="shared" si="2"/>
        <v>7.5320911725964939</v>
      </c>
      <c r="M16" s="12">
        <v>14514819.119000001</v>
      </c>
      <c r="N16" s="4">
        <f t="shared" si="2"/>
        <v>7.1618116281036448</v>
      </c>
      <c r="O16" s="5">
        <v>743</v>
      </c>
      <c r="P16" s="5">
        <v>1</v>
      </c>
      <c r="Q16" s="9">
        <v>1</v>
      </c>
      <c r="R16" s="10">
        <v>4.1900000000000004</v>
      </c>
      <c r="S16" s="11">
        <v>1.03</v>
      </c>
    </row>
    <row r="17" spans="1:19" ht="16.8" x14ac:dyDescent="0.3">
      <c r="A17" s="1" t="s">
        <v>17</v>
      </c>
      <c r="B17" s="20">
        <v>2016</v>
      </c>
      <c r="C17" s="3">
        <v>31.010999999999999</v>
      </c>
      <c r="D17" s="4">
        <f t="shared" si="0"/>
        <v>1.4915157709931974</v>
      </c>
      <c r="E17" s="3">
        <v>5.05</v>
      </c>
      <c r="F17" s="3">
        <v>2.66824817</v>
      </c>
      <c r="G17" s="5">
        <v>257096001.17407528</v>
      </c>
      <c r="H17" s="4">
        <f t="shared" si="1"/>
        <v>8.4100953217555059</v>
      </c>
      <c r="I17" s="6">
        <v>1713.8320000000001</v>
      </c>
      <c r="J17" s="4">
        <f t="shared" si="2"/>
        <v>3.2339682475469802</v>
      </c>
      <c r="K17" s="7">
        <v>57614344</v>
      </c>
      <c r="L17" s="4">
        <f t="shared" si="2"/>
        <v>7.7605306213488268</v>
      </c>
      <c r="M17" s="12">
        <v>14301529.344000001</v>
      </c>
      <c r="N17" s="4">
        <f t="shared" si="2"/>
        <v>7.1553824815312357</v>
      </c>
      <c r="O17" s="5">
        <v>1145</v>
      </c>
      <c r="P17" s="5">
        <v>1</v>
      </c>
      <c r="Q17" s="9">
        <v>1</v>
      </c>
      <c r="R17" s="10">
        <v>5.89</v>
      </c>
      <c r="S17" s="11">
        <v>1.5</v>
      </c>
    </row>
    <row r="18" spans="1:19" ht="16.8" x14ac:dyDescent="0.3">
      <c r="A18" s="1" t="s">
        <v>17</v>
      </c>
      <c r="B18" s="2">
        <v>2017</v>
      </c>
      <c r="C18" s="3">
        <v>30.858000000000001</v>
      </c>
      <c r="D18" s="4">
        <f t="shared" si="0"/>
        <v>1.4893677747047338</v>
      </c>
      <c r="E18" s="3">
        <v>2.59</v>
      </c>
      <c r="F18" s="3">
        <v>3.520256888</v>
      </c>
      <c r="G18" s="5">
        <v>281353626.10724455</v>
      </c>
      <c r="H18" s="4">
        <f t="shared" si="1"/>
        <v>8.4492525167468759</v>
      </c>
      <c r="I18" s="6">
        <v>1982.009</v>
      </c>
      <c r="J18" s="4">
        <f t="shared" si="2"/>
        <v>3.2971056222186119</v>
      </c>
      <c r="K18" s="7">
        <v>89350049</v>
      </c>
      <c r="L18" s="4">
        <f t="shared" si="2"/>
        <v>7.9510947950109276</v>
      </c>
      <c r="M18" s="12">
        <v>19222683.561999999</v>
      </c>
      <c r="N18" s="4">
        <f t="shared" si="2"/>
        <v>7.2838140167775594</v>
      </c>
      <c r="O18" s="5">
        <v>1692</v>
      </c>
      <c r="P18" s="5">
        <v>1</v>
      </c>
      <c r="Q18" s="9">
        <v>1</v>
      </c>
      <c r="R18" s="10">
        <v>9.1199999999999992</v>
      </c>
      <c r="S18" s="11">
        <v>2.2599999999999998</v>
      </c>
    </row>
    <row r="19" spans="1:19" ht="16.8" x14ac:dyDescent="0.3">
      <c r="A19" s="1" t="s">
        <v>17</v>
      </c>
      <c r="B19" s="20">
        <v>2018</v>
      </c>
      <c r="C19" s="3">
        <v>56.776000000000003</v>
      </c>
      <c r="D19" s="4">
        <f t="shared" si="0"/>
        <v>1.7541647922208305</v>
      </c>
      <c r="E19" s="3">
        <v>3.61</v>
      </c>
      <c r="F19" s="3">
        <v>3.5396280590000004</v>
      </c>
      <c r="G19" s="5">
        <v>310106472.64296824</v>
      </c>
      <c r="H19" s="4">
        <f t="shared" si="1"/>
        <v>8.4915108310673428</v>
      </c>
      <c r="I19" s="6">
        <v>2174.0329999999999</v>
      </c>
      <c r="J19" s="4">
        <f t="shared" si="2"/>
        <v>3.3372661320267847</v>
      </c>
      <c r="K19" s="7">
        <v>121894400</v>
      </c>
      <c r="L19" s="4">
        <f t="shared" si="2"/>
        <v>8.08598375397799</v>
      </c>
      <c r="M19" s="12">
        <v>44772133</v>
      </c>
      <c r="N19" s="4">
        <f t="shared" si="2"/>
        <v>7.6510077852046043</v>
      </c>
      <c r="O19" s="5">
        <v>1153</v>
      </c>
      <c r="P19" s="5">
        <v>1</v>
      </c>
      <c r="Q19" s="9">
        <v>1</v>
      </c>
      <c r="R19" s="10">
        <v>4.9800000000000004</v>
      </c>
      <c r="S19" s="11">
        <v>1.51</v>
      </c>
    </row>
    <row r="20" spans="1:19" ht="16.8" x14ac:dyDescent="0.3">
      <c r="A20" s="1" t="s">
        <v>17</v>
      </c>
      <c r="B20" s="2">
        <v>2019</v>
      </c>
      <c r="C20" s="3">
        <v>101.764</v>
      </c>
      <c r="D20" s="4">
        <f t="shared" si="0"/>
        <v>2.0075941692928003</v>
      </c>
      <c r="E20" s="3">
        <v>5.16</v>
      </c>
      <c r="F20" s="3">
        <v>2.7958236749999998</v>
      </c>
      <c r="G20" s="5">
        <v>334365257.9202888</v>
      </c>
      <c r="H20" s="4">
        <f t="shared" si="1"/>
        <v>8.5242211459280064</v>
      </c>
      <c r="I20" s="6">
        <v>2456.665</v>
      </c>
      <c r="J20" s="4">
        <f t="shared" si="2"/>
        <v>3.3903459385025987</v>
      </c>
      <c r="K20" s="7">
        <v>130036014</v>
      </c>
      <c r="L20" s="4">
        <f t="shared" si="2"/>
        <v>8.1140636485791156</v>
      </c>
      <c r="M20" s="12">
        <v>55175557</v>
      </c>
      <c r="N20" s="4">
        <f t="shared" si="2"/>
        <v>7.7417467260802795</v>
      </c>
      <c r="O20" s="5">
        <v>2199</v>
      </c>
      <c r="P20" s="5">
        <v>1</v>
      </c>
      <c r="Q20" s="9">
        <v>1</v>
      </c>
      <c r="R20" s="10">
        <v>6.87</v>
      </c>
      <c r="S20" s="11">
        <v>2.1800000000000002</v>
      </c>
    </row>
    <row r="21" spans="1:19" ht="16.8" x14ac:dyDescent="0.3">
      <c r="A21" s="1" t="s">
        <v>17</v>
      </c>
      <c r="B21" s="20">
        <v>2020</v>
      </c>
      <c r="C21" s="3">
        <v>96.182000000000002</v>
      </c>
      <c r="D21" s="4">
        <f t="shared" si="0"/>
        <v>1.9830938035127215</v>
      </c>
      <c r="E21" s="3">
        <v>6.09</v>
      </c>
      <c r="F21" s="3">
        <v>3.2209343669999999</v>
      </c>
      <c r="G21" s="5">
        <v>346615750.1665532</v>
      </c>
      <c r="H21" s="4">
        <f t="shared" si="1"/>
        <v>8.5398482931009561</v>
      </c>
      <c r="I21" s="6">
        <v>2627.819</v>
      </c>
      <c r="J21" s="4">
        <f t="shared" si="2"/>
        <v>3.4195954484035971</v>
      </c>
      <c r="K21" s="7">
        <v>110490033</v>
      </c>
      <c r="L21" s="4">
        <f t="shared" si="2"/>
        <v>8.0433231032850987</v>
      </c>
      <c r="M21" s="12">
        <v>27543989</v>
      </c>
      <c r="N21" s="4">
        <f t="shared" si="2"/>
        <v>7.440026836256294</v>
      </c>
      <c r="O21" s="5">
        <v>1586</v>
      </c>
      <c r="P21" s="5">
        <v>1</v>
      </c>
      <c r="Q21" s="9">
        <v>1</v>
      </c>
      <c r="R21" s="10">
        <v>4.26</v>
      </c>
      <c r="S21" s="11">
        <v>1.32</v>
      </c>
    </row>
    <row r="22" spans="1:19" ht="16.8" x14ac:dyDescent="0.3">
      <c r="A22" s="1" t="s">
        <v>17</v>
      </c>
      <c r="B22" s="2">
        <v>2021</v>
      </c>
      <c r="C22" s="3">
        <v>95.129000000000005</v>
      </c>
      <c r="D22" s="4">
        <f t="shared" si="0"/>
        <v>1.9783129314491106</v>
      </c>
      <c r="E22" s="3">
        <v>4.9000000000000004</v>
      </c>
      <c r="F22" s="3">
        <v>1.8347155479999999</v>
      </c>
      <c r="G22" s="5">
        <v>366137590.71780437</v>
      </c>
      <c r="H22" s="4">
        <f t="shared" si="1"/>
        <v>8.5636443194393905</v>
      </c>
      <c r="I22" s="6">
        <v>3528.607</v>
      </c>
      <c r="J22" s="4">
        <f t="shared" si="2"/>
        <v>3.5476032913337052</v>
      </c>
      <c r="K22" s="7">
        <v>125687870</v>
      </c>
      <c r="L22" s="4">
        <f t="shared" si="2"/>
        <v>8.0992933664189621</v>
      </c>
      <c r="M22" s="12">
        <v>36840586</v>
      </c>
      <c r="N22" s="4">
        <f t="shared" si="2"/>
        <v>7.566326529628566</v>
      </c>
      <c r="O22" s="5">
        <v>-650</v>
      </c>
      <c r="P22" s="5">
        <v>1</v>
      </c>
      <c r="Q22" s="9">
        <v>1</v>
      </c>
      <c r="R22" s="10">
        <v>-1.7</v>
      </c>
      <c r="S22" s="11">
        <v>-0.59</v>
      </c>
    </row>
    <row r="23" spans="1:19" ht="16.8" x14ac:dyDescent="0.3">
      <c r="A23" s="1" t="s">
        <v>17</v>
      </c>
      <c r="B23" s="20">
        <v>2022</v>
      </c>
      <c r="C23" s="3">
        <v>53.731999999999999</v>
      </c>
      <c r="D23" s="4">
        <f t="shared" si="0"/>
        <v>1.7302330060776907</v>
      </c>
      <c r="E23" s="3">
        <v>4</v>
      </c>
      <c r="F23" s="3">
        <v>3.1565075</v>
      </c>
      <c r="G23" s="5">
        <v>408802379.0682286</v>
      </c>
      <c r="H23" s="4">
        <f t="shared" si="1"/>
        <v>8.6115134145561996</v>
      </c>
      <c r="I23" s="6">
        <v>3265.64</v>
      </c>
      <c r="J23" s="4">
        <f t="shared" si="2"/>
        <v>3.5139683069680525</v>
      </c>
      <c r="K23" s="7">
        <v>101793582</v>
      </c>
      <c r="L23" s="4">
        <f t="shared" si="2"/>
        <v>8.0077203969609414</v>
      </c>
      <c r="M23" s="12">
        <v>75161529</v>
      </c>
      <c r="N23" s="4">
        <f t="shared" si="2"/>
        <v>7.8759956063075274</v>
      </c>
      <c r="O23" s="5">
        <v>2270</v>
      </c>
      <c r="P23" s="5">
        <v>1</v>
      </c>
      <c r="Q23" s="9">
        <v>1</v>
      </c>
      <c r="R23" s="10">
        <v>5.95</v>
      </c>
      <c r="S23" s="11">
        <v>1.75</v>
      </c>
    </row>
    <row r="24" spans="1:19" ht="16.8" x14ac:dyDescent="0.3">
      <c r="A24" s="1" t="s">
        <v>18</v>
      </c>
      <c r="B24" s="20">
        <v>2012</v>
      </c>
      <c r="C24" s="3">
        <v>53.212000000000003</v>
      </c>
      <c r="D24" s="4">
        <f t="shared" si="0"/>
        <v>1.7260095824097896</v>
      </c>
      <c r="E24" s="3">
        <v>4.03</v>
      </c>
      <c r="F24" s="3">
        <v>9.0947033959999999</v>
      </c>
      <c r="G24" s="5">
        <v>195590647.20568466</v>
      </c>
      <c r="H24" s="4">
        <f t="shared" si="1"/>
        <v>8.2913480837640794</v>
      </c>
      <c r="I24" s="6">
        <v>1371.8420000000001</v>
      </c>
      <c r="J24" s="4">
        <f t="shared" si="2"/>
        <v>3.1373040949862498</v>
      </c>
      <c r="K24" s="7">
        <v>10389414</v>
      </c>
      <c r="L24" s="4">
        <f t="shared" si="2"/>
        <v>7.0165910524904289</v>
      </c>
      <c r="M24" s="12">
        <v>5785098</v>
      </c>
      <c r="N24" s="4">
        <f t="shared" si="2"/>
        <v>6.7623107203316284</v>
      </c>
      <c r="O24" s="5">
        <v>2176</v>
      </c>
      <c r="P24" s="5">
        <v>1</v>
      </c>
      <c r="Q24" s="9">
        <v>0</v>
      </c>
      <c r="R24" s="10">
        <v>8.4700000000000006</v>
      </c>
      <c r="S24" s="11">
        <v>3.49</v>
      </c>
    </row>
    <row r="25" spans="1:19" ht="16.8" x14ac:dyDescent="0.3">
      <c r="A25" s="1" t="s">
        <v>18</v>
      </c>
      <c r="B25" s="2">
        <v>2013</v>
      </c>
      <c r="C25" s="3">
        <v>42.061999999999998</v>
      </c>
      <c r="D25" s="4">
        <f t="shared" si="0"/>
        <v>1.6238899190472418</v>
      </c>
      <c r="E25" s="3">
        <v>6.09</v>
      </c>
      <c r="F25" s="3">
        <v>6.5926747590000003</v>
      </c>
      <c r="G25" s="5">
        <v>213708830.7769472</v>
      </c>
      <c r="H25" s="4">
        <f t="shared" si="1"/>
        <v>8.3298224682495192</v>
      </c>
      <c r="I25" s="6">
        <v>3851</v>
      </c>
      <c r="J25" s="4">
        <f t="shared" si="2"/>
        <v>3.5855735186227311</v>
      </c>
      <c r="K25" s="7">
        <v>11942533</v>
      </c>
      <c r="L25" s="4">
        <f t="shared" si="2"/>
        <v>7.0770964500138467</v>
      </c>
      <c r="M25" s="12">
        <v>3840386</v>
      </c>
      <c r="N25" s="4">
        <f t="shared" si="2"/>
        <v>6.5843748778167601</v>
      </c>
      <c r="O25" s="5">
        <v>646</v>
      </c>
      <c r="P25" s="5">
        <v>0</v>
      </c>
      <c r="Q25" s="9">
        <v>0</v>
      </c>
      <c r="R25" s="10">
        <v>3.19</v>
      </c>
      <c r="S25" s="11">
        <v>1.06</v>
      </c>
    </row>
    <row r="26" spans="1:19" ht="16.8" x14ac:dyDescent="0.3">
      <c r="A26" s="1" t="s">
        <v>18</v>
      </c>
      <c r="B26" s="20">
        <v>2014</v>
      </c>
      <c r="C26" s="3">
        <v>42.847999999999999</v>
      </c>
      <c r="D26" s="4">
        <f t="shared" si="0"/>
        <v>1.631930555331915</v>
      </c>
      <c r="E26" s="3">
        <v>4.79</v>
      </c>
      <c r="F26" s="3">
        <v>4.0845544660000002</v>
      </c>
      <c r="G26" s="5">
        <v>233451484.77397391</v>
      </c>
      <c r="H26" s="4">
        <f t="shared" si="1"/>
        <v>8.368196640430428</v>
      </c>
      <c r="I26" s="6">
        <v>4613.2619999999997</v>
      </c>
      <c r="J26" s="4">
        <f t="shared" si="2"/>
        <v>3.6640081201021122</v>
      </c>
      <c r="K26" s="7">
        <v>16088636</v>
      </c>
      <c r="L26" s="4">
        <f t="shared" si="2"/>
        <v>7.2065192260267112</v>
      </c>
      <c r="M26" s="12">
        <v>2708702</v>
      </c>
      <c r="N26" s="4">
        <f t="shared" si="2"/>
        <v>6.432761228409154</v>
      </c>
      <c r="O26" s="5">
        <v>1469</v>
      </c>
      <c r="P26" s="5">
        <v>0</v>
      </c>
      <c r="Q26" s="9">
        <v>1</v>
      </c>
      <c r="R26" s="10">
        <v>7.34</v>
      </c>
      <c r="S26" s="11">
        <v>2.17</v>
      </c>
    </row>
    <row r="27" spans="1:19" ht="16.8" x14ac:dyDescent="0.3">
      <c r="A27" s="1" t="s">
        <v>18</v>
      </c>
      <c r="B27" s="2">
        <v>2015</v>
      </c>
      <c r="C27" s="3">
        <v>40.006</v>
      </c>
      <c r="D27" s="4">
        <f t="shared" si="0"/>
        <v>1.6021251306149236</v>
      </c>
      <c r="E27" s="3">
        <v>8.99</v>
      </c>
      <c r="F27" s="3">
        <v>0.63120090500000003</v>
      </c>
      <c r="G27" s="5">
        <v>239258340.82553262</v>
      </c>
      <c r="H27" s="4">
        <f t="shared" si="1"/>
        <v>8.3788670867262578</v>
      </c>
      <c r="I27" s="6">
        <v>1456.114</v>
      </c>
      <c r="J27" s="4">
        <f t="shared" si="2"/>
        <v>3.1631953774720869</v>
      </c>
      <c r="K27" s="7">
        <v>30628410</v>
      </c>
      <c r="L27" s="4">
        <f t="shared" si="2"/>
        <v>7.4861244520416541</v>
      </c>
      <c r="M27" s="12">
        <v>3856825</v>
      </c>
      <c r="N27" s="4">
        <f t="shared" si="2"/>
        <v>6.5862299335877017</v>
      </c>
      <c r="O27" s="5">
        <v>1996</v>
      </c>
      <c r="P27" s="5">
        <v>1</v>
      </c>
      <c r="Q27" s="9">
        <v>1</v>
      </c>
      <c r="R27" s="10">
        <v>7.02</v>
      </c>
      <c r="S27" s="11">
        <v>2.37</v>
      </c>
    </row>
    <row r="28" spans="1:19" ht="16.8" x14ac:dyDescent="0.3">
      <c r="A28" s="1" t="s">
        <v>18</v>
      </c>
      <c r="B28" s="20">
        <v>2016</v>
      </c>
      <c r="C28" s="3">
        <v>39.789000000000001</v>
      </c>
      <c r="D28" s="4">
        <f t="shared" si="0"/>
        <v>1.5997630243451988</v>
      </c>
      <c r="E28" s="3">
        <v>5.05</v>
      </c>
      <c r="F28" s="3">
        <v>2.66824817</v>
      </c>
      <c r="G28" s="5">
        <v>257096001.17407528</v>
      </c>
      <c r="H28" s="4">
        <f t="shared" si="1"/>
        <v>8.4100953217555059</v>
      </c>
      <c r="I28" s="6">
        <v>1713.8320000000001</v>
      </c>
      <c r="J28" s="4">
        <f t="shared" si="2"/>
        <v>3.2339682475469802</v>
      </c>
      <c r="K28" s="7">
        <v>43297064</v>
      </c>
      <c r="L28" s="4">
        <f t="shared" si="2"/>
        <v>7.6364584475813064</v>
      </c>
      <c r="M28" s="12">
        <v>2920583</v>
      </c>
      <c r="N28" s="4">
        <f t="shared" si="2"/>
        <v>6.4654695529587949</v>
      </c>
      <c r="O28" s="5">
        <v>3718</v>
      </c>
      <c r="P28" s="5">
        <v>1</v>
      </c>
      <c r="Q28" s="9">
        <v>1</v>
      </c>
      <c r="R28" s="10">
        <v>11.77</v>
      </c>
      <c r="S28" s="11">
        <v>3.85</v>
      </c>
    </row>
    <row r="29" spans="1:19" ht="16.8" x14ac:dyDescent="0.3">
      <c r="A29" s="1" t="s">
        <v>18</v>
      </c>
      <c r="B29" s="2">
        <v>2017</v>
      </c>
      <c r="C29" s="3">
        <v>62.146999999999998</v>
      </c>
      <c r="D29" s="4">
        <f t="shared" si="0"/>
        <v>1.7934201689407847</v>
      </c>
      <c r="E29" s="3">
        <v>2.59</v>
      </c>
      <c r="F29" s="3">
        <v>3.520256888</v>
      </c>
      <c r="G29" s="5">
        <v>281353626.10724455</v>
      </c>
      <c r="H29" s="4">
        <f t="shared" si="1"/>
        <v>8.4492525167468759</v>
      </c>
      <c r="I29" s="6">
        <v>1982.009</v>
      </c>
      <c r="J29" s="4">
        <f t="shared" si="2"/>
        <v>3.2971056222186119</v>
      </c>
      <c r="K29" s="7">
        <v>37620646</v>
      </c>
      <c r="L29" s="4">
        <f t="shared" si="2"/>
        <v>7.5754262487323434</v>
      </c>
      <c r="M29" s="12">
        <v>2111023</v>
      </c>
      <c r="N29" s="4">
        <f t="shared" si="2"/>
        <v>6.3244929650550121</v>
      </c>
      <c r="O29" s="5">
        <v>2822</v>
      </c>
      <c r="P29" s="5">
        <v>1</v>
      </c>
      <c r="Q29" s="9">
        <v>0</v>
      </c>
      <c r="R29" s="10">
        <v>15.31</v>
      </c>
      <c r="S29" s="11">
        <v>4.54</v>
      </c>
    </row>
    <row r="30" spans="1:19" ht="16.8" x14ac:dyDescent="0.3">
      <c r="A30" s="1" t="s">
        <v>18</v>
      </c>
      <c r="B30" s="20">
        <v>2018</v>
      </c>
      <c r="C30" s="3">
        <v>61.719000000000001</v>
      </c>
      <c r="D30" s="4">
        <f t="shared" si="0"/>
        <v>1.7904188808065318</v>
      </c>
      <c r="E30" s="3">
        <v>3.61</v>
      </c>
      <c r="F30" s="3">
        <v>3.5396280590000004</v>
      </c>
      <c r="G30" s="5">
        <v>310106472.64296824</v>
      </c>
      <c r="H30" s="4">
        <f t="shared" si="1"/>
        <v>8.4915108310673428</v>
      </c>
      <c r="I30" s="6">
        <v>2174.0329999999999</v>
      </c>
      <c r="J30" s="4">
        <f t="shared" si="2"/>
        <v>3.3372661320267847</v>
      </c>
      <c r="K30" s="7">
        <v>38187617</v>
      </c>
      <c r="L30" s="4">
        <f t="shared" si="2"/>
        <v>7.5819225581889613</v>
      </c>
      <c r="M30" s="12">
        <v>2638466</v>
      </c>
      <c r="N30" s="4">
        <f t="shared" si="2"/>
        <v>6.4213515021108218</v>
      </c>
      <c r="O30" s="5">
        <v>4558</v>
      </c>
      <c r="P30" s="5">
        <v>1</v>
      </c>
      <c r="Q30" s="9">
        <v>0</v>
      </c>
      <c r="R30" s="10">
        <v>18.11</v>
      </c>
      <c r="S30" s="11">
        <v>7.68</v>
      </c>
    </row>
    <row r="31" spans="1:19" ht="16.8" x14ac:dyDescent="0.3">
      <c r="A31" s="1" t="s">
        <v>18</v>
      </c>
      <c r="B31" s="2">
        <v>2019</v>
      </c>
      <c r="C31" s="3">
        <v>46.570999999999998</v>
      </c>
      <c r="D31" s="4">
        <f t="shared" si="0"/>
        <v>1.668115563460306</v>
      </c>
      <c r="E31" s="3">
        <v>5.16</v>
      </c>
      <c r="F31" s="3">
        <v>2.7958236749999998</v>
      </c>
      <c r="G31" s="5">
        <v>334365257.9202888</v>
      </c>
      <c r="H31" s="4">
        <f t="shared" si="1"/>
        <v>8.5242211459280064</v>
      </c>
      <c r="I31" s="6">
        <v>2456.665</v>
      </c>
      <c r="J31" s="4">
        <f t="shared" si="2"/>
        <v>3.3903459385025987</v>
      </c>
      <c r="K31" s="7">
        <v>37354087</v>
      </c>
      <c r="L31" s="4">
        <f t="shared" si="2"/>
        <v>7.5723381259490781</v>
      </c>
      <c r="M31" s="12">
        <v>4162595</v>
      </c>
      <c r="N31" s="4">
        <f t="shared" si="2"/>
        <v>6.6193641582272837</v>
      </c>
      <c r="O31" s="5">
        <v>4765</v>
      </c>
      <c r="P31" s="5">
        <v>1</v>
      </c>
      <c r="Q31" s="9">
        <v>1</v>
      </c>
      <c r="R31" s="10">
        <v>14.81</v>
      </c>
      <c r="S31" s="11">
        <v>6.87</v>
      </c>
    </row>
    <row r="32" spans="1:19" ht="16.8" x14ac:dyDescent="0.3">
      <c r="A32" s="1" t="s">
        <v>18</v>
      </c>
      <c r="B32" s="20">
        <v>2020</v>
      </c>
      <c r="C32" s="3">
        <v>72.884</v>
      </c>
      <c r="D32" s="4">
        <f t="shared" si="0"/>
        <v>1.862632199451455</v>
      </c>
      <c r="E32" s="3">
        <v>6.09</v>
      </c>
      <c r="F32" s="3">
        <v>3.2209343669999999</v>
      </c>
      <c r="G32" s="5">
        <v>346615750.1665532</v>
      </c>
      <c r="H32" s="4">
        <f t="shared" si="1"/>
        <v>8.5398482931009561</v>
      </c>
      <c r="I32" s="6">
        <v>2627.819</v>
      </c>
      <c r="J32" s="4">
        <f t="shared" si="2"/>
        <v>3.4195954484035971</v>
      </c>
      <c r="K32" s="7">
        <v>77217808</v>
      </c>
      <c r="L32" s="4">
        <f t="shared" si="2"/>
        <v>7.8877174690438432</v>
      </c>
      <c r="M32" s="12">
        <v>3678162</v>
      </c>
      <c r="N32" s="4">
        <f t="shared" si="2"/>
        <v>6.5656308532752732</v>
      </c>
      <c r="O32" s="5">
        <v>1054</v>
      </c>
      <c r="P32" s="5">
        <v>1</v>
      </c>
      <c r="Q32" s="9">
        <v>1</v>
      </c>
      <c r="R32" s="10">
        <v>3.63</v>
      </c>
      <c r="S32" s="11">
        <v>1.1599999999999999</v>
      </c>
    </row>
    <row r="33" spans="1:19" ht="16.8" x14ac:dyDescent="0.3">
      <c r="A33" s="1" t="s">
        <v>18</v>
      </c>
      <c r="B33" s="2">
        <v>2021</v>
      </c>
      <c r="C33" s="3">
        <v>141.51499999999999</v>
      </c>
      <c r="D33" s="4">
        <f t="shared" si="0"/>
        <v>2.1508024757045905</v>
      </c>
      <c r="E33" s="3">
        <v>4.9000000000000004</v>
      </c>
      <c r="F33" s="3">
        <v>1.8347155479999999</v>
      </c>
      <c r="G33" s="5">
        <v>366137590.71780437</v>
      </c>
      <c r="H33" s="4">
        <f t="shared" si="1"/>
        <v>8.5636443194393905</v>
      </c>
      <c r="I33" s="6">
        <v>3528.607</v>
      </c>
      <c r="J33" s="4">
        <f t="shared" si="2"/>
        <v>3.5476032913337052</v>
      </c>
      <c r="K33" s="7">
        <v>88628767</v>
      </c>
      <c r="L33" s="4">
        <f t="shared" si="2"/>
        <v>7.9475747074582097</v>
      </c>
      <c r="M33" s="12">
        <v>2805427</v>
      </c>
      <c r="N33" s="4">
        <f t="shared" si="2"/>
        <v>6.4479989724122602</v>
      </c>
      <c r="O33" s="5">
        <v>7268</v>
      </c>
      <c r="P33" s="5">
        <v>1</v>
      </c>
      <c r="Q33" s="9">
        <v>1</v>
      </c>
      <c r="R33" s="10">
        <v>29.99</v>
      </c>
      <c r="S33" s="11">
        <v>7.08</v>
      </c>
    </row>
    <row r="34" spans="1:19" ht="16.8" x14ac:dyDescent="0.3">
      <c r="A34" s="1" t="s">
        <v>18</v>
      </c>
      <c r="B34" s="20">
        <v>2022</v>
      </c>
      <c r="C34" s="3">
        <v>92.997</v>
      </c>
      <c r="D34" s="4">
        <f t="shared" si="0"/>
        <v>1.9684689388285543</v>
      </c>
      <c r="E34" s="3">
        <v>4</v>
      </c>
      <c r="F34" s="3">
        <v>3.1565075</v>
      </c>
      <c r="G34" s="5">
        <v>408802379.0682286</v>
      </c>
      <c r="H34" s="4">
        <f t="shared" si="1"/>
        <v>8.6115134145561996</v>
      </c>
      <c r="I34" s="6">
        <v>3265.64</v>
      </c>
      <c r="J34" s="4">
        <f t="shared" si="2"/>
        <v>3.5139683069680525</v>
      </c>
      <c r="K34" s="7">
        <v>76189225</v>
      </c>
      <c r="L34" s="4">
        <f t="shared" si="2"/>
        <v>7.8818935559337504</v>
      </c>
      <c r="M34" s="12">
        <v>4165321</v>
      </c>
      <c r="N34" s="4">
        <f t="shared" si="2"/>
        <v>6.6196484758884973</v>
      </c>
      <c r="O34" s="5">
        <v>2628</v>
      </c>
      <c r="P34" s="5">
        <v>1</v>
      </c>
      <c r="Q34" s="9">
        <v>1</v>
      </c>
      <c r="R34" s="10">
        <v>12.04</v>
      </c>
      <c r="S34" s="11">
        <v>2.67</v>
      </c>
    </row>
    <row r="35" spans="1:19" ht="16.8" x14ac:dyDescent="0.3">
      <c r="A35" s="1" t="s">
        <v>19</v>
      </c>
      <c r="B35" s="20">
        <v>2012</v>
      </c>
      <c r="C35" s="3">
        <v>5.7569999999999997</v>
      </c>
      <c r="D35" s="4">
        <f t="shared" si="0"/>
        <v>0.76019622945513399</v>
      </c>
      <c r="E35" s="3">
        <v>4.03</v>
      </c>
      <c r="F35" s="3">
        <v>9.0947033959999999</v>
      </c>
      <c r="G35" s="5">
        <v>195590647.20568466</v>
      </c>
      <c r="H35" s="4">
        <f t="shared" si="1"/>
        <v>8.2913480837640794</v>
      </c>
      <c r="I35" s="6">
        <v>1371.8420000000001</v>
      </c>
      <c r="J35" s="4">
        <f t="shared" si="2"/>
        <v>3.1373040949862498</v>
      </c>
      <c r="K35" s="7">
        <v>24594304</v>
      </c>
      <c r="L35" s="4">
        <f t="shared" si="2"/>
        <v>7.3908345368674437</v>
      </c>
      <c r="M35" s="12">
        <v>761454.37399999995</v>
      </c>
      <c r="N35" s="4">
        <f t="shared" si="2"/>
        <v>5.8816438857237019</v>
      </c>
      <c r="O35" s="5">
        <v>6318</v>
      </c>
      <c r="P35" s="5">
        <v>1</v>
      </c>
      <c r="Q35" s="9">
        <v>0</v>
      </c>
      <c r="R35" s="10">
        <v>26.32</v>
      </c>
      <c r="S35" s="11">
        <v>10.57</v>
      </c>
    </row>
    <row r="36" spans="1:19" ht="16.8" x14ac:dyDescent="0.3">
      <c r="A36" s="1" t="s">
        <v>19</v>
      </c>
      <c r="B36" s="2">
        <v>2013</v>
      </c>
      <c r="C36" s="3">
        <v>7.7240000000000002</v>
      </c>
      <c r="D36" s="4">
        <f t="shared" si="0"/>
        <v>0.88784226510735709</v>
      </c>
      <c r="E36" s="3">
        <v>6.09</v>
      </c>
      <c r="F36" s="3">
        <v>6.5926747590000003</v>
      </c>
      <c r="G36" s="5">
        <v>213708830.7769472</v>
      </c>
      <c r="H36" s="4">
        <f t="shared" si="1"/>
        <v>8.3298224682495192</v>
      </c>
      <c r="I36" s="6">
        <v>3851</v>
      </c>
      <c r="J36" s="4">
        <f t="shared" si="2"/>
        <v>3.5855735186227311</v>
      </c>
      <c r="K36" s="7">
        <v>27027889</v>
      </c>
      <c r="L36" s="4">
        <f t="shared" si="2"/>
        <v>7.4318121266660464</v>
      </c>
      <c r="M36" s="12">
        <v>919555.304</v>
      </c>
      <c r="N36" s="4">
        <f t="shared" si="2"/>
        <v>5.9635778537478421</v>
      </c>
      <c r="O36" s="5">
        <v>5858</v>
      </c>
      <c r="P36" s="5">
        <v>1</v>
      </c>
      <c r="Q36" s="9">
        <v>0</v>
      </c>
      <c r="R36" s="10">
        <v>24.01</v>
      </c>
      <c r="S36" s="11">
        <v>10.119999999999999</v>
      </c>
    </row>
    <row r="37" spans="1:19" ht="16.8" x14ac:dyDescent="0.3">
      <c r="A37" s="1" t="s">
        <v>19</v>
      </c>
      <c r="B37" s="20">
        <v>2014</v>
      </c>
      <c r="C37" s="3">
        <v>10.199999999999999</v>
      </c>
      <c r="D37" s="4">
        <f t="shared" si="0"/>
        <v>1.0086001717619175</v>
      </c>
      <c r="E37" s="3">
        <v>4.79</v>
      </c>
      <c r="F37" s="3">
        <v>4.0845544660000002</v>
      </c>
      <c r="G37" s="5">
        <v>233451484.77397391</v>
      </c>
      <c r="H37" s="4">
        <f t="shared" si="1"/>
        <v>8.368196640430428</v>
      </c>
      <c r="I37" s="6">
        <v>4613.2619999999997</v>
      </c>
      <c r="J37" s="4">
        <f t="shared" si="2"/>
        <v>3.6640081201021122</v>
      </c>
      <c r="K37" s="7">
        <v>32644656</v>
      </c>
      <c r="L37" s="4">
        <f t="shared" si="2"/>
        <v>7.513812096494199</v>
      </c>
      <c r="M37" s="12">
        <v>1440556.923</v>
      </c>
      <c r="N37" s="4">
        <f t="shared" si="2"/>
        <v>6.1585304239190073</v>
      </c>
      <c r="O37" s="5">
        <v>5210</v>
      </c>
      <c r="P37" s="5">
        <v>0</v>
      </c>
      <c r="Q37" s="9">
        <v>0</v>
      </c>
      <c r="R37" s="10">
        <v>21.59</v>
      </c>
      <c r="S37" s="11">
        <v>8.11</v>
      </c>
    </row>
    <row r="38" spans="1:19" ht="16.8" x14ac:dyDescent="0.3">
      <c r="A38" s="1" t="s">
        <v>19</v>
      </c>
      <c r="B38" s="2">
        <v>2015</v>
      </c>
      <c r="C38" s="3">
        <v>12.292999999999999</v>
      </c>
      <c r="D38" s="4">
        <f t="shared" si="0"/>
        <v>1.0896578816215292</v>
      </c>
      <c r="E38" s="3">
        <v>8.99</v>
      </c>
      <c r="F38" s="3">
        <v>0.63120090500000003</v>
      </c>
      <c r="G38" s="5">
        <v>239258340.82553262</v>
      </c>
      <c r="H38" s="4">
        <f t="shared" si="1"/>
        <v>8.3788670867262578</v>
      </c>
      <c r="I38" s="6">
        <v>1456.114</v>
      </c>
      <c r="J38" s="4">
        <f t="shared" si="2"/>
        <v>3.1631953774720869</v>
      </c>
      <c r="K38" s="7">
        <v>37959699</v>
      </c>
      <c r="L38" s="4">
        <f t="shared" si="2"/>
        <v>7.5793227600472113</v>
      </c>
      <c r="M38" s="12">
        <v>2090200.7590000001</v>
      </c>
      <c r="N38" s="4">
        <f t="shared" si="2"/>
        <v>6.3201880011056133</v>
      </c>
      <c r="O38" s="5">
        <v>5208</v>
      </c>
      <c r="P38" s="5">
        <v>1</v>
      </c>
      <c r="Q38" s="9">
        <v>0</v>
      </c>
      <c r="R38" s="10">
        <v>21.34</v>
      </c>
      <c r="S38" s="11">
        <v>7.93</v>
      </c>
    </row>
    <row r="39" spans="1:19" ht="16.8" x14ac:dyDescent="0.3">
      <c r="A39" s="1" t="s">
        <v>19</v>
      </c>
      <c r="B39" s="20">
        <v>2016</v>
      </c>
      <c r="C39" s="3">
        <v>13.151</v>
      </c>
      <c r="D39" s="4">
        <f t="shared" si="0"/>
        <v>1.1189587777664338</v>
      </c>
      <c r="E39" s="3">
        <v>5.05</v>
      </c>
      <c r="F39" s="3">
        <v>2.66824817</v>
      </c>
      <c r="G39" s="5">
        <v>257096001.17407528</v>
      </c>
      <c r="H39" s="4">
        <f t="shared" si="1"/>
        <v>8.4100953217555059</v>
      </c>
      <c r="I39" s="6">
        <v>1713.8320000000001</v>
      </c>
      <c r="J39" s="4">
        <f t="shared" si="2"/>
        <v>3.2339682475469802</v>
      </c>
      <c r="K39" s="7">
        <v>39531469</v>
      </c>
      <c r="L39" s="4">
        <f t="shared" si="2"/>
        <v>7.5969429531423645</v>
      </c>
      <c r="M39" s="12">
        <v>1433113.298</v>
      </c>
      <c r="N39" s="4">
        <f t="shared" si="2"/>
        <v>6.1562805258831546</v>
      </c>
      <c r="O39" s="5">
        <v>4641</v>
      </c>
      <c r="P39" s="5">
        <v>1</v>
      </c>
      <c r="Q39" s="9">
        <v>0</v>
      </c>
      <c r="R39" s="10">
        <v>18.41</v>
      </c>
      <c r="S39" s="11">
        <v>7.12</v>
      </c>
    </row>
    <row r="40" spans="1:19" ht="16.8" x14ac:dyDescent="0.3">
      <c r="A40" s="1" t="s">
        <v>19</v>
      </c>
      <c r="B40" s="2">
        <v>2017</v>
      </c>
      <c r="C40" s="3">
        <v>20.419</v>
      </c>
      <c r="D40" s="4">
        <f t="shared" si="0"/>
        <v>1.3100344691359895</v>
      </c>
      <c r="E40" s="3">
        <v>2.59</v>
      </c>
      <c r="F40" s="3">
        <v>3.520256888</v>
      </c>
      <c r="G40" s="5">
        <v>281353626.10724455</v>
      </c>
      <c r="H40" s="4">
        <f t="shared" si="1"/>
        <v>8.4492525167468759</v>
      </c>
      <c r="I40" s="6">
        <v>1982.009</v>
      </c>
      <c r="J40" s="4">
        <f t="shared" si="2"/>
        <v>3.2971056222186119</v>
      </c>
      <c r="K40" s="7">
        <v>42658611</v>
      </c>
      <c r="L40" s="4">
        <f t="shared" si="2"/>
        <v>7.6300067103525997</v>
      </c>
      <c r="M40" s="12">
        <v>1104370.929</v>
      </c>
      <c r="N40" s="4">
        <f t="shared" si="2"/>
        <v>6.0431149659307763</v>
      </c>
      <c r="O40" s="5">
        <v>5904</v>
      </c>
      <c r="P40" s="5">
        <v>1</v>
      </c>
      <c r="Q40" s="9">
        <v>0</v>
      </c>
      <c r="R40" s="10">
        <v>23.75</v>
      </c>
      <c r="S40" s="11">
        <v>10.69</v>
      </c>
    </row>
    <row r="41" spans="1:19" ht="16.8" x14ac:dyDescent="0.3">
      <c r="A41" s="1" t="s">
        <v>19</v>
      </c>
      <c r="B41" s="20">
        <v>2018</v>
      </c>
      <c r="C41" s="3">
        <v>17.745000000000001</v>
      </c>
      <c r="D41" s="4">
        <f t="shared" si="0"/>
        <v>1.2490760036836117</v>
      </c>
      <c r="E41" s="3">
        <v>3.61</v>
      </c>
      <c r="F41" s="3">
        <v>3.5396280590000004</v>
      </c>
      <c r="G41" s="5">
        <v>310106472.64296824</v>
      </c>
      <c r="H41" s="4">
        <f t="shared" si="1"/>
        <v>8.4915108310673428</v>
      </c>
      <c r="I41" s="6">
        <v>2174.0329999999999</v>
      </c>
      <c r="J41" s="4">
        <f t="shared" si="2"/>
        <v>3.3372661320267847</v>
      </c>
      <c r="K41" s="7">
        <v>23213537</v>
      </c>
      <c r="L41" s="4">
        <f t="shared" si="2"/>
        <v>7.3657413180754929</v>
      </c>
      <c r="M41" s="12">
        <v>2453675.5550000002</v>
      </c>
      <c r="N41" s="4">
        <f t="shared" si="2"/>
        <v>6.3898171362277605</v>
      </c>
      <c r="O41" s="5">
        <v>4518</v>
      </c>
      <c r="P41" s="5">
        <v>1</v>
      </c>
      <c r="Q41" s="9">
        <v>0</v>
      </c>
      <c r="R41" s="10">
        <v>18.71</v>
      </c>
      <c r="S41" s="11">
        <v>9.57</v>
      </c>
    </row>
    <row r="42" spans="1:19" ht="16.8" x14ac:dyDescent="0.3">
      <c r="A42" s="1" t="s">
        <v>19</v>
      </c>
      <c r="B42" s="2">
        <v>2019</v>
      </c>
      <c r="C42" s="3">
        <v>28.445</v>
      </c>
      <c r="D42" s="4">
        <f t="shared" si="0"/>
        <v>1.4540059381037904</v>
      </c>
      <c r="E42" s="3">
        <v>5.16</v>
      </c>
      <c r="F42" s="3">
        <v>2.7958236749999998</v>
      </c>
      <c r="G42" s="5">
        <v>334365257.9202888</v>
      </c>
      <c r="H42" s="4">
        <f t="shared" si="1"/>
        <v>8.5242211459280064</v>
      </c>
      <c r="I42" s="6">
        <v>2456.665</v>
      </c>
      <c r="J42" s="4">
        <f t="shared" si="2"/>
        <v>3.3903459385025987</v>
      </c>
      <c r="K42" s="7">
        <v>27716960</v>
      </c>
      <c r="L42" s="4">
        <f t="shared" si="2"/>
        <v>7.4427455950730579</v>
      </c>
      <c r="M42" s="12">
        <v>2233069.7450000001</v>
      </c>
      <c r="N42" s="4">
        <f t="shared" si="2"/>
        <v>6.3489022875119288</v>
      </c>
      <c r="O42" s="5">
        <v>4797</v>
      </c>
      <c r="P42" s="5">
        <v>1</v>
      </c>
      <c r="Q42" s="9">
        <v>0</v>
      </c>
      <c r="R42" s="10">
        <v>19.86</v>
      </c>
      <c r="S42" s="11">
        <v>9.93</v>
      </c>
    </row>
    <row r="43" spans="1:19" ht="16.8" x14ac:dyDescent="0.3">
      <c r="A43" s="1" t="s">
        <v>19</v>
      </c>
      <c r="B43" s="20">
        <v>2020</v>
      </c>
      <c r="C43" s="3">
        <v>34.948</v>
      </c>
      <c r="D43" s="4">
        <f t="shared" si="0"/>
        <v>1.5434223270397236</v>
      </c>
      <c r="E43" s="3">
        <v>6.09</v>
      </c>
      <c r="F43" s="3">
        <v>3.2209343669999999</v>
      </c>
      <c r="G43" s="5">
        <v>346615750.1665532</v>
      </c>
      <c r="H43" s="4">
        <f t="shared" si="1"/>
        <v>8.5398482931009561</v>
      </c>
      <c r="I43" s="6">
        <v>2627.819</v>
      </c>
      <c r="J43" s="4">
        <f t="shared" si="2"/>
        <v>3.4195954484035971</v>
      </c>
      <c r="K43" s="7">
        <v>29830401</v>
      </c>
      <c r="L43" s="4">
        <f t="shared" si="2"/>
        <v>7.4746590914752611</v>
      </c>
      <c r="M43" s="12">
        <v>3017645.378</v>
      </c>
      <c r="N43" s="4">
        <f t="shared" si="2"/>
        <v>6.4796682018322951</v>
      </c>
      <c r="O43" s="5">
        <v>4744</v>
      </c>
      <c r="P43" s="5">
        <v>1</v>
      </c>
      <c r="Q43" s="9">
        <v>0</v>
      </c>
      <c r="R43" s="10">
        <v>19.989999999999998</v>
      </c>
      <c r="S43" s="11">
        <v>9.42</v>
      </c>
    </row>
    <row r="44" spans="1:19" ht="16.8" x14ac:dyDescent="0.3">
      <c r="A44" s="1" t="s">
        <v>19</v>
      </c>
      <c r="B44" s="2">
        <v>2021</v>
      </c>
      <c r="C44" s="3">
        <v>64.408000000000001</v>
      </c>
      <c r="D44" s="4">
        <f t="shared" si="0"/>
        <v>1.8089398136342623</v>
      </c>
      <c r="E44" s="3">
        <v>4.9000000000000004</v>
      </c>
      <c r="F44" s="3">
        <v>1.8347155479999999</v>
      </c>
      <c r="G44" s="5">
        <v>366137590.71780437</v>
      </c>
      <c r="H44" s="4">
        <f t="shared" si="1"/>
        <v>8.5636443194393905</v>
      </c>
      <c r="I44" s="6">
        <v>3528.607</v>
      </c>
      <c r="J44" s="4">
        <f t="shared" si="2"/>
        <v>3.5476032913337052</v>
      </c>
      <c r="K44" s="7">
        <v>35657263</v>
      </c>
      <c r="L44" s="4">
        <f t="shared" si="2"/>
        <v>7.5521480043015945</v>
      </c>
      <c r="M44" s="12">
        <v>2911001.173</v>
      </c>
      <c r="N44" s="4">
        <f t="shared" si="2"/>
        <v>6.4640423804396097</v>
      </c>
      <c r="O44" s="5">
        <v>5065</v>
      </c>
      <c r="P44" s="5">
        <v>1</v>
      </c>
      <c r="Q44" s="9">
        <v>0</v>
      </c>
      <c r="R44" s="10">
        <v>21.67</v>
      </c>
      <c r="S44" s="11">
        <v>9.09</v>
      </c>
    </row>
    <row r="45" spans="1:19" ht="16.8" x14ac:dyDescent="0.3">
      <c r="A45" s="1" t="s">
        <v>19</v>
      </c>
      <c r="B45" s="20">
        <v>2022</v>
      </c>
      <c r="C45" s="3">
        <v>65.293000000000006</v>
      </c>
      <c r="D45" s="4">
        <f t="shared" si="0"/>
        <v>1.8148666234752495</v>
      </c>
      <c r="E45" s="3">
        <v>4</v>
      </c>
      <c r="F45" s="3">
        <v>3.1565075</v>
      </c>
      <c r="G45" s="5">
        <v>408802379.0682286</v>
      </c>
      <c r="H45" s="4">
        <f t="shared" si="1"/>
        <v>8.6115134145561996</v>
      </c>
      <c r="I45" s="6">
        <v>3265.64</v>
      </c>
      <c r="J45" s="4">
        <f t="shared" si="2"/>
        <v>3.5139683069680525</v>
      </c>
      <c r="K45" s="7">
        <v>44009528</v>
      </c>
      <c r="L45" s="4">
        <f t="shared" si="2"/>
        <v>7.6435467108011936</v>
      </c>
      <c r="M45" s="12">
        <v>3215243.2</v>
      </c>
      <c r="N45" s="4">
        <f t="shared" si="2"/>
        <v>6.5072138284028069</v>
      </c>
      <c r="O45" s="5">
        <v>5252</v>
      </c>
      <c r="P45" s="5">
        <v>1</v>
      </c>
      <c r="Q45" s="9">
        <v>0</v>
      </c>
      <c r="R45" s="10">
        <v>22.71</v>
      </c>
      <c r="S45" s="11">
        <v>10.08</v>
      </c>
    </row>
    <row r="46" spans="1:19" ht="16.8" x14ac:dyDescent="0.3">
      <c r="A46" s="1" t="s">
        <v>20</v>
      </c>
      <c r="B46" s="20">
        <v>2012</v>
      </c>
      <c r="C46" s="3">
        <v>23.248000000000001</v>
      </c>
      <c r="D46" s="4">
        <f t="shared" si="0"/>
        <v>1.3663855969539462</v>
      </c>
      <c r="E46" s="3">
        <v>4.03</v>
      </c>
      <c r="F46" s="3">
        <v>9.0947033959999999</v>
      </c>
      <c r="G46" s="5">
        <v>195590647.20568466</v>
      </c>
      <c r="H46" s="4">
        <f t="shared" si="1"/>
        <v>8.2913480837640794</v>
      </c>
      <c r="I46" s="6">
        <v>1371.8420000000001</v>
      </c>
      <c r="J46" s="4">
        <f t="shared" si="2"/>
        <v>3.1373040949862498</v>
      </c>
      <c r="K46" s="7">
        <v>26561574</v>
      </c>
      <c r="L46" s="4">
        <f t="shared" si="2"/>
        <v>7.4242538071139075</v>
      </c>
      <c r="M46" s="12">
        <v>3133999.298</v>
      </c>
      <c r="N46" s="4">
        <f t="shared" si="2"/>
        <v>6.496098894852814</v>
      </c>
      <c r="O46" s="5">
        <v>10471</v>
      </c>
      <c r="P46" s="5">
        <v>1</v>
      </c>
      <c r="Q46" s="9">
        <v>0</v>
      </c>
      <c r="R46" s="10">
        <v>41.61</v>
      </c>
      <c r="S46" s="11">
        <v>32.99</v>
      </c>
    </row>
    <row r="47" spans="1:19" ht="16.8" x14ac:dyDescent="0.3">
      <c r="A47" s="1" t="s">
        <v>20</v>
      </c>
      <c r="B47" s="2">
        <v>2013</v>
      </c>
      <c r="C47" s="3">
        <v>37.460999999999999</v>
      </c>
      <c r="D47" s="4">
        <f t="shared" si="0"/>
        <v>1.5735793664371158</v>
      </c>
      <c r="E47" s="3">
        <v>6.09</v>
      </c>
      <c r="F47" s="3">
        <v>6.5926747590000003</v>
      </c>
      <c r="G47" s="5">
        <v>213708830.7769472</v>
      </c>
      <c r="H47" s="4">
        <f t="shared" si="1"/>
        <v>8.3298224682495192</v>
      </c>
      <c r="I47" s="6">
        <v>3851</v>
      </c>
      <c r="J47" s="4">
        <f t="shared" si="2"/>
        <v>3.5855735186227311</v>
      </c>
      <c r="K47" s="7">
        <v>30948602</v>
      </c>
      <c r="L47" s="4">
        <f t="shared" si="2"/>
        <v>7.4906410359927005</v>
      </c>
      <c r="M47" s="12">
        <v>1491459.2169999999</v>
      </c>
      <c r="N47" s="4">
        <f t="shared" si="2"/>
        <v>6.17361138235513</v>
      </c>
      <c r="O47" s="5">
        <v>7999</v>
      </c>
      <c r="P47" s="5">
        <v>1</v>
      </c>
      <c r="Q47" s="9">
        <v>1</v>
      </c>
      <c r="R47" s="10">
        <v>39.549999999999997</v>
      </c>
      <c r="S47" s="11">
        <v>30.7</v>
      </c>
    </row>
    <row r="48" spans="1:19" ht="16.8" x14ac:dyDescent="0.3">
      <c r="A48" s="1" t="s">
        <v>20</v>
      </c>
      <c r="B48" s="20">
        <v>2014</v>
      </c>
      <c r="C48" s="3">
        <v>32.414000000000001</v>
      </c>
      <c r="D48" s="4">
        <f t="shared" si="0"/>
        <v>1.5107326277843331</v>
      </c>
      <c r="E48" s="3">
        <v>4.79</v>
      </c>
      <c r="F48" s="3">
        <v>4.0845544660000002</v>
      </c>
      <c r="G48" s="5">
        <v>233451484.77397391</v>
      </c>
      <c r="H48" s="4">
        <f t="shared" si="1"/>
        <v>8.368196640430428</v>
      </c>
      <c r="I48" s="6">
        <v>4613.2619999999997</v>
      </c>
      <c r="J48" s="4">
        <f t="shared" si="2"/>
        <v>3.6640081201021122</v>
      </c>
      <c r="K48" s="7">
        <v>34976928</v>
      </c>
      <c r="L48" s="4">
        <f t="shared" si="2"/>
        <v>7.5437816630261469</v>
      </c>
      <c r="M48" s="12">
        <v>858946.28200000001</v>
      </c>
      <c r="N48" s="4">
        <f t="shared" si="2"/>
        <v>5.933966004156658</v>
      </c>
      <c r="O48" s="5">
        <v>6870</v>
      </c>
      <c r="P48" s="5">
        <v>1</v>
      </c>
      <c r="Q48" s="9">
        <v>0</v>
      </c>
      <c r="R48" s="10">
        <v>32.61</v>
      </c>
      <c r="S48" s="11">
        <v>24.95</v>
      </c>
    </row>
    <row r="49" spans="1:19" ht="16.8" x14ac:dyDescent="0.3">
      <c r="A49" s="1" t="s">
        <v>20</v>
      </c>
      <c r="B49" s="2">
        <v>2015</v>
      </c>
      <c r="C49" s="3">
        <v>55.1</v>
      </c>
      <c r="D49" s="4">
        <f t="shared" si="0"/>
        <v>1.7411515988517852</v>
      </c>
      <c r="E49" s="3">
        <v>8.99</v>
      </c>
      <c r="F49" s="3">
        <v>0.63120090500000003</v>
      </c>
      <c r="G49" s="5">
        <v>239258340.82553262</v>
      </c>
      <c r="H49" s="4">
        <f t="shared" si="1"/>
        <v>8.3788670867262578</v>
      </c>
      <c r="I49" s="6">
        <v>1456.114</v>
      </c>
      <c r="J49" s="4">
        <f t="shared" si="2"/>
        <v>3.1631953774720869</v>
      </c>
      <c r="K49" s="7">
        <v>40080385</v>
      </c>
      <c r="L49" s="4">
        <f t="shared" si="2"/>
        <v>7.6029318845800598</v>
      </c>
      <c r="M49" s="12">
        <v>1067841.2209999999</v>
      </c>
      <c r="N49" s="4">
        <f t="shared" si="2"/>
        <v>6.0285066815596355</v>
      </c>
      <c r="O49" s="5">
        <v>7296</v>
      </c>
      <c r="P49" s="5">
        <v>1</v>
      </c>
      <c r="Q49" s="9">
        <v>0</v>
      </c>
      <c r="R49" s="10">
        <v>38.29</v>
      </c>
      <c r="S49" s="11">
        <v>29.2</v>
      </c>
    </row>
    <row r="50" spans="1:19" ht="16.8" x14ac:dyDescent="0.3">
      <c r="A50" s="1" t="s">
        <v>20</v>
      </c>
      <c r="B50" s="20">
        <v>2016</v>
      </c>
      <c r="C50" s="3">
        <v>67.683000000000007</v>
      </c>
      <c r="D50" s="4">
        <f t="shared" si="0"/>
        <v>1.8304796002462538</v>
      </c>
      <c r="E50" s="3">
        <v>5.05</v>
      </c>
      <c r="F50" s="3">
        <v>2.66824817</v>
      </c>
      <c r="G50" s="5">
        <v>257096001.17407528</v>
      </c>
      <c r="H50" s="4">
        <f t="shared" si="1"/>
        <v>8.4100953217555059</v>
      </c>
      <c r="I50" s="6">
        <v>1713.8320000000001</v>
      </c>
      <c r="J50" s="4">
        <f t="shared" si="2"/>
        <v>3.2339682475469802</v>
      </c>
      <c r="K50" s="7">
        <v>46794339</v>
      </c>
      <c r="L50" s="4">
        <f t="shared" si="2"/>
        <v>7.6701933169679597</v>
      </c>
      <c r="M50" s="12">
        <v>1141612.7520000001</v>
      </c>
      <c r="N50" s="4">
        <f t="shared" si="2"/>
        <v>6.0575188112736384</v>
      </c>
      <c r="O50" s="5">
        <v>7298</v>
      </c>
      <c r="P50" s="5">
        <v>0</v>
      </c>
      <c r="Q50" s="9">
        <v>0</v>
      </c>
      <c r="R50" s="10">
        <v>43.16</v>
      </c>
      <c r="S50" s="11">
        <v>32.89</v>
      </c>
    </row>
    <row r="51" spans="1:19" ht="16.8" x14ac:dyDescent="0.3">
      <c r="A51" s="1" t="s">
        <v>20</v>
      </c>
      <c r="B51" s="2">
        <v>2017</v>
      </c>
      <c r="C51" s="3">
        <v>115.136</v>
      </c>
      <c r="D51" s="4">
        <f t="shared" si="0"/>
        <v>2.0612111373294386</v>
      </c>
      <c r="E51" s="3">
        <v>2.59</v>
      </c>
      <c r="F51" s="3">
        <v>3.520256888</v>
      </c>
      <c r="G51" s="5">
        <v>281353626.10724455</v>
      </c>
      <c r="H51" s="4">
        <f t="shared" si="1"/>
        <v>8.4492525167468759</v>
      </c>
      <c r="I51" s="6">
        <v>1982.009</v>
      </c>
      <c r="J51" s="4">
        <f t="shared" si="2"/>
        <v>3.2971056222186119</v>
      </c>
      <c r="K51" s="7">
        <v>51041076</v>
      </c>
      <c r="L51" s="4">
        <f t="shared" si="2"/>
        <v>7.7079198211977626</v>
      </c>
      <c r="M51" s="12">
        <v>2672989.4900000002</v>
      </c>
      <c r="N51" s="4">
        <f t="shared" si="2"/>
        <v>6.4269972511456217</v>
      </c>
      <c r="O51" s="5">
        <v>7094</v>
      </c>
      <c r="P51" s="5">
        <v>1</v>
      </c>
      <c r="Q51" s="9">
        <v>0</v>
      </c>
      <c r="R51" s="10">
        <v>44.49</v>
      </c>
      <c r="S51" s="11">
        <v>32.15</v>
      </c>
    </row>
    <row r="52" spans="1:19" ht="16.8" x14ac:dyDescent="0.3">
      <c r="A52" s="1" t="s">
        <v>20</v>
      </c>
      <c r="B52" s="20">
        <v>2018</v>
      </c>
      <c r="C52" s="3">
        <v>85.016999999999996</v>
      </c>
      <c r="D52" s="4">
        <f t="shared" si="0"/>
        <v>1.9295057759259417</v>
      </c>
      <c r="E52" s="3">
        <v>3.61</v>
      </c>
      <c r="F52" s="3">
        <v>3.5396280590000004</v>
      </c>
      <c r="G52" s="5">
        <v>310106472.64296824</v>
      </c>
      <c r="H52" s="4">
        <f t="shared" si="1"/>
        <v>8.4915108310673428</v>
      </c>
      <c r="I52" s="6">
        <v>2174.0329999999999</v>
      </c>
      <c r="J52" s="4">
        <f t="shared" si="2"/>
        <v>3.3372661320267847</v>
      </c>
      <c r="K52" s="7">
        <v>52561950</v>
      </c>
      <c r="L52" s="4">
        <f t="shared" si="2"/>
        <v>7.7206714687764277</v>
      </c>
      <c r="M52" s="12">
        <v>3185795.4380000001</v>
      </c>
      <c r="N52" s="4">
        <f t="shared" si="2"/>
        <v>6.5032178860288328</v>
      </c>
      <c r="O52" s="5">
        <v>6645</v>
      </c>
      <c r="P52" s="5">
        <v>1</v>
      </c>
      <c r="Q52" s="9">
        <v>0</v>
      </c>
      <c r="R52" s="10">
        <v>40.79</v>
      </c>
      <c r="S52" s="11">
        <v>28.4</v>
      </c>
    </row>
    <row r="53" spans="1:19" ht="16.8" x14ac:dyDescent="0.3">
      <c r="A53" s="1" t="s">
        <v>20</v>
      </c>
      <c r="B53" s="2">
        <v>2019</v>
      </c>
      <c r="C53" s="3">
        <v>83.483999999999995</v>
      </c>
      <c r="D53" s="4">
        <f t="shared" si="0"/>
        <v>1.9216032494052746</v>
      </c>
      <c r="E53" s="3">
        <v>5.16</v>
      </c>
      <c r="F53" s="3">
        <v>2.7958236749999998</v>
      </c>
      <c r="G53" s="5">
        <v>334365257.9202888</v>
      </c>
      <c r="H53" s="4">
        <f t="shared" si="1"/>
        <v>8.5242211459280064</v>
      </c>
      <c r="I53" s="6">
        <v>2456.665</v>
      </c>
      <c r="J53" s="4">
        <f t="shared" si="2"/>
        <v>3.3903459385025987</v>
      </c>
      <c r="K53" s="7">
        <v>56318123</v>
      </c>
      <c r="L53" s="4">
        <f t="shared" si="2"/>
        <v>7.7506481719805294</v>
      </c>
      <c r="M53" s="12">
        <v>2158249.2069999999</v>
      </c>
      <c r="N53" s="4">
        <f t="shared" si="2"/>
        <v>6.3341015900115112</v>
      </c>
      <c r="O53" s="5">
        <v>6076</v>
      </c>
      <c r="P53" s="5">
        <v>1</v>
      </c>
      <c r="Q53" s="9">
        <v>0</v>
      </c>
      <c r="R53" s="10">
        <v>37.79</v>
      </c>
      <c r="S53" s="11">
        <v>25.79</v>
      </c>
    </row>
    <row r="54" spans="1:19" ht="16.8" x14ac:dyDescent="0.3">
      <c r="A54" s="1" t="s">
        <v>20</v>
      </c>
      <c r="B54" s="20">
        <v>2020</v>
      </c>
      <c r="C54" s="3">
        <v>94.751999999999995</v>
      </c>
      <c r="D54" s="4">
        <f t="shared" si="0"/>
        <v>1.976588385709205</v>
      </c>
      <c r="E54" s="3">
        <v>6.09</v>
      </c>
      <c r="F54" s="3">
        <v>3.2209343669999999</v>
      </c>
      <c r="G54" s="5">
        <v>346615750.1665532</v>
      </c>
      <c r="H54" s="4">
        <f t="shared" si="1"/>
        <v>8.5398482931009561</v>
      </c>
      <c r="I54" s="6">
        <v>2627.819</v>
      </c>
      <c r="J54" s="4">
        <f t="shared" si="2"/>
        <v>3.4195954484035971</v>
      </c>
      <c r="K54" s="7">
        <v>59636286</v>
      </c>
      <c r="L54" s="4">
        <f t="shared" si="2"/>
        <v>7.7755105888397997</v>
      </c>
      <c r="M54" s="12">
        <v>1264816.996</v>
      </c>
      <c r="N54" s="4">
        <f t="shared" si="2"/>
        <v>6.1020276928028858</v>
      </c>
      <c r="O54" s="5">
        <v>6112</v>
      </c>
      <c r="P54" s="5">
        <v>1</v>
      </c>
      <c r="Q54" s="9">
        <v>0</v>
      </c>
      <c r="R54" s="10">
        <v>35.020000000000003</v>
      </c>
      <c r="S54" s="11">
        <v>23.83</v>
      </c>
    </row>
    <row r="55" spans="1:19" ht="16.8" x14ac:dyDescent="0.3">
      <c r="A55" s="1" t="s">
        <v>20</v>
      </c>
      <c r="B55" s="2">
        <v>2021</v>
      </c>
      <c r="C55" s="3">
        <v>78.213999999999999</v>
      </c>
      <c r="D55" s="4">
        <f t="shared" si="0"/>
        <v>1.8932844970311407</v>
      </c>
      <c r="E55" s="3">
        <v>4.9000000000000004</v>
      </c>
      <c r="F55" s="3">
        <v>1.8347155479999999</v>
      </c>
      <c r="G55" s="5">
        <v>366137590.71780437</v>
      </c>
      <c r="H55" s="4">
        <f t="shared" si="1"/>
        <v>8.5636443194393905</v>
      </c>
      <c r="I55" s="6">
        <v>3528.607</v>
      </c>
      <c r="J55" s="4">
        <f t="shared" si="2"/>
        <v>3.5476032913337052</v>
      </c>
      <c r="K55" s="7">
        <v>60919165</v>
      </c>
      <c r="L55" s="4">
        <f t="shared" si="2"/>
        <v>7.784753941965751</v>
      </c>
      <c r="M55" s="12">
        <v>1531025.3589999999</v>
      </c>
      <c r="N55" s="4">
        <f t="shared" si="2"/>
        <v>6.1849823841551892</v>
      </c>
      <c r="O55" s="5">
        <v>5040</v>
      </c>
      <c r="P55" s="5">
        <v>1</v>
      </c>
      <c r="Q55" s="9">
        <v>0</v>
      </c>
      <c r="R55" s="10">
        <v>30.31</v>
      </c>
      <c r="S55" s="11">
        <v>20.7</v>
      </c>
    </row>
    <row r="56" spans="1:19" ht="16.8" x14ac:dyDescent="0.3">
      <c r="A56" s="1" t="s">
        <v>20</v>
      </c>
      <c r="B56" s="20">
        <v>2022</v>
      </c>
      <c r="C56" s="3">
        <v>73.69</v>
      </c>
      <c r="D56" s="4">
        <f t="shared" si="0"/>
        <v>1.8674085565227911</v>
      </c>
      <c r="E56" s="3">
        <v>4</v>
      </c>
      <c r="F56" s="3">
        <v>3.1565075</v>
      </c>
      <c r="G56" s="5">
        <v>408802379.0682286</v>
      </c>
      <c r="H56" s="4">
        <f t="shared" si="1"/>
        <v>8.6115134145561996</v>
      </c>
      <c r="I56" s="6">
        <v>3265.64</v>
      </c>
      <c r="J56" s="4">
        <f t="shared" si="2"/>
        <v>3.5139683069680525</v>
      </c>
      <c r="K56" s="7">
        <v>59956247</v>
      </c>
      <c r="L56" s="4">
        <f t="shared" si="2"/>
        <v>7.7778344400834794</v>
      </c>
      <c r="M56" s="12">
        <v>1456914.0519999999</v>
      </c>
      <c r="N56" s="4">
        <f t="shared" si="2"/>
        <v>6.163433932111019</v>
      </c>
      <c r="O56" s="5">
        <v>4075</v>
      </c>
      <c r="P56" s="5">
        <v>1</v>
      </c>
      <c r="Q56" s="9">
        <v>0</v>
      </c>
      <c r="R56" s="10">
        <v>24.8</v>
      </c>
      <c r="S56" s="11">
        <v>16.73</v>
      </c>
    </row>
    <row r="57" spans="1:19" ht="16.8" x14ac:dyDescent="0.3">
      <c r="A57" s="1" t="s">
        <v>21</v>
      </c>
      <c r="B57" s="20">
        <v>2012</v>
      </c>
      <c r="C57" s="3">
        <v>10.391</v>
      </c>
      <c r="D57" s="4">
        <f t="shared" si="0"/>
        <v>1.016657344822202</v>
      </c>
      <c r="E57" s="3">
        <v>4.03</v>
      </c>
      <c r="F57" s="3">
        <v>9.0947033959999999</v>
      </c>
      <c r="G57" s="5">
        <v>195590647.20568466</v>
      </c>
      <c r="H57" s="4">
        <f t="shared" si="1"/>
        <v>8.2913480837640794</v>
      </c>
      <c r="I57" s="6">
        <v>1371.8420000000001</v>
      </c>
      <c r="J57" s="4">
        <f t="shared" si="2"/>
        <v>3.1373040949862498</v>
      </c>
      <c r="K57" s="7">
        <v>52003992</v>
      </c>
      <c r="L57" s="4">
        <f t="shared" si="2"/>
        <v>7.716036682808407</v>
      </c>
      <c r="M57" s="12">
        <v>1630359</v>
      </c>
      <c r="N57" s="4">
        <f t="shared" si="2"/>
        <v>6.2122832452334702</v>
      </c>
      <c r="O57" s="5">
        <v>1903</v>
      </c>
      <c r="P57" s="5">
        <v>1</v>
      </c>
      <c r="Q57" s="9">
        <v>0</v>
      </c>
      <c r="R57" s="10">
        <v>12.53</v>
      </c>
      <c r="S57" s="11">
        <v>1.1299999999999999</v>
      </c>
    </row>
    <row r="58" spans="1:19" ht="16.8" x14ac:dyDescent="0.3">
      <c r="A58" s="1" t="s">
        <v>21</v>
      </c>
      <c r="B58" s="2">
        <v>2013</v>
      </c>
      <c r="C58" s="3">
        <v>10.036</v>
      </c>
      <c r="D58" s="4">
        <f t="shared" si="0"/>
        <v>1.0015606526425729</v>
      </c>
      <c r="E58" s="3">
        <v>6.09</v>
      </c>
      <c r="F58" s="3">
        <v>6.5926747590000003</v>
      </c>
      <c r="G58" s="5">
        <v>213708830.7769472</v>
      </c>
      <c r="H58" s="4">
        <f t="shared" si="1"/>
        <v>8.3298224682495192</v>
      </c>
      <c r="I58" s="6">
        <v>3851</v>
      </c>
      <c r="J58" s="4">
        <f t="shared" si="2"/>
        <v>3.5855735186227311</v>
      </c>
      <c r="K58" s="7">
        <v>49750071</v>
      </c>
      <c r="L58" s="4">
        <f t="shared" si="2"/>
        <v>7.696793704878452</v>
      </c>
      <c r="M58" s="12">
        <v>1170801</v>
      </c>
      <c r="N58" s="4">
        <f t="shared" si="2"/>
        <v>6.0684830846998281</v>
      </c>
      <c r="O58" s="5">
        <v>1881</v>
      </c>
      <c r="P58" s="5">
        <v>1</v>
      </c>
      <c r="Q58" s="9">
        <v>0</v>
      </c>
      <c r="R58" s="10">
        <v>10.38</v>
      </c>
      <c r="S58" s="11">
        <v>0.99</v>
      </c>
    </row>
    <row r="59" spans="1:19" ht="16.8" x14ac:dyDescent="0.3">
      <c r="A59" s="1" t="s">
        <v>21</v>
      </c>
      <c r="B59" s="20">
        <v>2014</v>
      </c>
      <c r="C59" s="3">
        <v>14.122</v>
      </c>
      <c r="D59" s="4">
        <f t="shared" si="0"/>
        <v>1.1498962071587606</v>
      </c>
      <c r="E59" s="3">
        <v>4.79</v>
      </c>
      <c r="F59" s="3">
        <v>4.0845544660000002</v>
      </c>
      <c r="G59" s="5">
        <v>233451484.77397391</v>
      </c>
      <c r="H59" s="4">
        <f t="shared" si="1"/>
        <v>8.368196640430428</v>
      </c>
      <c r="I59" s="6">
        <v>4613.2619999999997</v>
      </c>
      <c r="J59" s="4">
        <f t="shared" si="2"/>
        <v>3.6640081201021122</v>
      </c>
      <c r="K59" s="7">
        <v>52373085</v>
      </c>
      <c r="L59" s="4">
        <f t="shared" si="2"/>
        <v>7.7191081564681454</v>
      </c>
      <c r="M59" s="12">
        <v>987172</v>
      </c>
      <c r="N59" s="4">
        <f t="shared" si="2"/>
        <v>5.9943928285996737</v>
      </c>
      <c r="O59" s="5">
        <v>1846</v>
      </c>
      <c r="P59" s="5">
        <v>1</v>
      </c>
      <c r="Q59" s="9">
        <v>0</v>
      </c>
      <c r="R59" s="10">
        <v>10.65</v>
      </c>
      <c r="S59" s="11">
        <v>0.87</v>
      </c>
    </row>
    <row r="60" spans="1:19" ht="16.8" x14ac:dyDescent="0.3">
      <c r="A60" s="1" t="s">
        <v>21</v>
      </c>
      <c r="B60" s="2">
        <v>2015</v>
      </c>
      <c r="C60" s="3">
        <v>19.861000000000001</v>
      </c>
      <c r="D60" s="4">
        <f t="shared" si="0"/>
        <v>1.2980011114075181</v>
      </c>
      <c r="E60" s="3">
        <v>8.99</v>
      </c>
      <c r="F60" s="3">
        <v>0.63120090500000003</v>
      </c>
      <c r="G60" s="5">
        <v>239258340.82553262</v>
      </c>
      <c r="H60" s="4">
        <f t="shared" si="1"/>
        <v>8.3788670867262578</v>
      </c>
      <c r="I60" s="6">
        <v>1456.114</v>
      </c>
      <c r="J60" s="4">
        <f t="shared" si="2"/>
        <v>3.1631953774720869</v>
      </c>
      <c r="K60" s="7">
        <v>60231218</v>
      </c>
      <c r="L60" s="4">
        <f t="shared" si="2"/>
        <v>7.7798216455934677</v>
      </c>
      <c r="M60" s="12">
        <v>1194037</v>
      </c>
      <c r="N60" s="4">
        <f t="shared" si="2"/>
        <v>6.0770177846215425</v>
      </c>
      <c r="O60" s="5">
        <v>1994</v>
      </c>
      <c r="P60" s="5">
        <v>1</v>
      </c>
      <c r="Q60" s="9">
        <v>0</v>
      </c>
      <c r="R60" s="10">
        <v>12.01</v>
      </c>
      <c r="S60" s="11">
        <v>0.85</v>
      </c>
    </row>
    <row r="61" spans="1:19" ht="16.8" x14ac:dyDescent="0.3">
      <c r="A61" s="1" t="s">
        <v>21</v>
      </c>
      <c r="B61" s="20">
        <v>2016</v>
      </c>
      <c r="C61" s="3">
        <v>22.100999999999999</v>
      </c>
      <c r="D61" s="4">
        <f t="shared" si="0"/>
        <v>1.3444119245745465</v>
      </c>
      <c r="E61" s="3">
        <v>5.05</v>
      </c>
      <c r="F61" s="3">
        <v>2.66824817</v>
      </c>
      <c r="G61" s="5">
        <v>257096001.17407528</v>
      </c>
      <c r="H61" s="4">
        <f t="shared" si="1"/>
        <v>8.4100953217555059</v>
      </c>
      <c r="I61" s="6">
        <v>1713.8320000000001</v>
      </c>
      <c r="J61" s="4">
        <f t="shared" si="2"/>
        <v>3.2339682475469802</v>
      </c>
      <c r="K61" s="7">
        <v>71540852</v>
      </c>
      <c r="L61" s="4">
        <f t="shared" si="2"/>
        <v>7.8545541079781067</v>
      </c>
      <c r="M61" s="12">
        <v>1272248</v>
      </c>
      <c r="N61" s="4">
        <f t="shared" si="2"/>
        <v>6.1045717768260186</v>
      </c>
      <c r="O61" s="5">
        <v>2341</v>
      </c>
      <c r="P61" s="5">
        <v>1</v>
      </c>
      <c r="Q61" s="9">
        <v>0</v>
      </c>
      <c r="R61" s="10">
        <v>14.65</v>
      </c>
      <c r="S61" s="11">
        <v>0.93</v>
      </c>
    </row>
    <row r="62" spans="1:19" ht="16.8" x14ac:dyDescent="0.3">
      <c r="A62" s="1" t="s">
        <v>21</v>
      </c>
      <c r="B62" s="2">
        <v>2017</v>
      </c>
      <c r="C62" s="3">
        <v>34.58</v>
      </c>
      <c r="D62" s="4">
        <f t="shared" si="0"/>
        <v>1.5388249889379038</v>
      </c>
      <c r="E62" s="3">
        <v>2.59</v>
      </c>
      <c r="F62" s="3">
        <v>3.520256888</v>
      </c>
      <c r="G62" s="5">
        <v>281353626.10724455</v>
      </c>
      <c r="H62" s="4">
        <f t="shared" si="1"/>
        <v>8.4492525167468759</v>
      </c>
      <c r="I62" s="6">
        <v>1982.009</v>
      </c>
      <c r="J62" s="4">
        <f t="shared" si="2"/>
        <v>3.2971056222186119</v>
      </c>
      <c r="K62" s="7">
        <v>86129732</v>
      </c>
      <c r="L62" s="4">
        <f t="shared" si="2"/>
        <v>7.9351530958739858</v>
      </c>
      <c r="M62" s="12">
        <v>1139976</v>
      </c>
      <c r="N62" s="4">
        <f t="shared" si="2"/>
        <v>6.0568957081985042</v>
      </c>
      <c r="O62" s="5">
        <v>2527</v>
      </c>
      <c r="P62" s="5">
        <v>1</v>
      </c>
      <c r="Q62" s="9">
        <v>0</v>
      </c>
      <c r="R62" s="10">
        <v>18.059999999999999</v>
      </c>
      <c r="S62" s="11">
        <v>1</v>
      </c>
    </row>
    <row r="63" spans="1:19" ht="16.8" x14ac:dyDescent="0.3">
      <c r="A63" s="1" t="s">
        <v>21</v>
      </c>
      <c r="B63" s="20">
        <v>2018</v>
      </c>
      <c r="C63" s="3">
        <v>35.085000000000001</v>
      </c>
      <c r="D63" s="4">
        <f t="shared" si="0"/>
        <v>1.5451214808648344</v>
      </c>
      <c r="E63" s="3">
        <v>3.61</v>
      </c>
      <c r="F63" s="3">
        <v>3.5396280590000004</v>
      </c>
      <c r="G63" s="5">
        <v>310106472.64296824</v>
      </c>
      <c r="H63" s="4">
        <f t="shared" si="1"/>
        <v>8.4915108310673428</v>
      </c>
      <c r="I63" s="6">
        <v>2174.0329999999999</v>
      </c>
      <c r="J63" s="4">
        <f t="shared" si="2"/>
        <v>3.3372661320267847</v>
      </c>
      <c r="K63" s="7">
        <v>109913503</v>
      </c>
      <c r="L63" s="4">
        <f t="shared" si="2"/>
        <v>8.041051049276609</v>
      </c>
      <c r="M63" s="12">
        <v>1133639</v>
      </c>
      <c r="N63" s="4">
        <f t="shared" si="2"/>
        <v>6.05447477830631</v>
      </c>
      <c r="O63" s="5">
        <v>4060</v>
      </c>
      <c r="P63" s="5">
        <v>1</v>
      </c>
      <c r="Q63" s="9">
        <v>0</v>
      </c>
      <c r="R63" s="10">
        <v>25.46</v>
      </c>
      <c r="S63" s="11">
        <v>1.38</v>
      </c>
    </row>
    <row r="64" spans="1:19" ht="16.8" x14ac:dyDescent="0.3">
      <c r="A64" s="1" t="s">
        <v>21</v>
      </c>
      <c r="B64" s="2">
        <v>2019</v>
      </c>
      <c r="C64" s="3">
        <v>58.497999999999998</v>
      </c>
      <c r="D64" s="4">
        <f t="shared" si="0"/>
        <v>1.7671410181537732</v>
      </c>
      <c r="E64" s="3">
        <v>5.16</v>
      </c>
      <c r="F64" s="3">
        <v>2.7958236749999998</v>
      </c>
      <c r="G64" s="5">
        <v>334365257.9202888</v>
      </c>
      <c r="H64" s="4">
        <f t="shared" si="1"/>
        <v>8.5242211459280064</v>
      </c>
      <c r="I64" s="6">
        <v>2456.665</v>
      </c>
      <c r="J64" s="4">
        <f t="shared" si="2"/>
        <v>3.3903459385025987</v>
      </c>
      <c r="K64" s="7">
        <v>129661235</v>
      </c>
      <c r="L64" s="4">
        <f t="shared" si="2"/>
        <v>8.1128101538636059</v>
      </c>
      <c r="M64" s="12">
        <v>1005065</v>
      </c>
      <c r="N64" s="4">
        <f t="shared" si="2"/>
        <v>6.0021941495460407</v>
      </c>
      <c r="O64" s="5">
        <v>4996</v>
      </c>
      <c r="P64" s="5">
        <v>1</v>
      </c>
      <c r="Q64" s="9">
        <v>0</v>
      </c>
      <c r="R64" s="10">
        <v>25.88</v>
      </c>
      <c r="S64" s="11">
        <v>1.61</v>
      </c>
    </row>
    <row r="65" spans="1:19" ht="16.8" x14ac:dyDescent="0.3">
      <c r="A65" s="1" t="s">
        <v>21</v>
      </c>
      <c r="B65" s="20">
        <v>2020</v>
      </c>
      <c r="C65" s="3">
        <v>64.225999999999999</v>
      </c>
      <c r="D65" s="4">
        <f t="shared" si="0"/>
        <v>1.8077108749640887</v>
      </c>
      <c r="E65" s="3">
        <v>6.09</v>
      </c>
      <c r="F65" s="3">
        <v>3.2209343669999999</v>
      </c>
      <c r="G65" s="5">
        <v>346615750.1665532</v>
      </c>
      <c r="H65" s="4">
        <f t="shared" si="1"/>
        <v>8.5398482931009561</v>
      </c>
      <c r="I65" s="6">
        <v>2627.819</v>
      </c>
      <c r="J65" s="4">
        <f t="shared" si="2"/>
        <v>3.4195954484035971</v>
      </c>
      <c r="K65" s="7">
        <v>135770048</v>
      </c>
      <c r="L65" s="4">
        <f t="shared" si="2"/>
        <v>8.1328039715420406</v>
      </c>
      <c r="M65" s="12">
        <v>3001902</v>
      </c>
      <c r="N65" s="4">
        <f t="shared" si="2"/>
        <v>6.4773965101744269</v>
      </c>
      <c r="O65" s="5">
        <v>4975</v>
      </c>
      <c r="P65" s="5">
        <v>1</v>
      </c>
      <c r="Q65" s="9">
        <v>0</v>
      </c>
      <c r="R65" s="10">
        <v>21.09</v>
      </c>
      <c r="S65" s="11">
        <v>1.45</v>
      </c>
    </row>
    <row r="66" spans="1:19" ht="16.8" x14ac:dyDescent="0.3">
      <c r="A66" s="1" t="s">
        <v>21</v>
      </c>
      <c r="B66" s="2">
        <v>2021</v>
      </c>
      <c r="C66" s="3">
        <v>66.774000000000001</v>
      </c>
      <c r="D66" s="4">
        <f t="shared" si="0"/>
        <v>1.8246073927962354</v>
      </c>
      <c r="E66" s="3">
        <v>4.9000000000000004</v>
      </c>
      <c r="F66" s="3">
        <v>1.8347155479999999</v>
      </c>
      <c r="G66" s="5">
        <v>366137590.71780437</v>
      </c>
      <c r="H66" s="4">
        <f t="shared" si="1"/>
        <v>8.5636443194393905</v>
      </c>
      <c r="I66" s="6">
        <v>3528.607</v>
      </c>
      <c r="J66" s="4">
        <f t="shared" si="2"/>
        <v>3.5476032913337052</v>
      </c>
      <c r="K66" s="7">
        <v>146383075</v>
      </c>
      <c r="L66" s="4">
        <f t="shared" si="2"/>
        <v>8.1654908659366949</v>
      </c>
      <c r="M66" s="12">
        <v>1621433</v>
      </c>
      <c r="N66" s="4">
        <f t="shared" si="2"/>
        <v>6.2098990076920257</v>
      </c>
      <c r="O66" s="5">
        <v>5910</v>
      </c>
      <c r="P66" s="5">
        <v>1</v>
      </c>
      <c r="Q66" s="9">
        <v>0</v>
      </c>
      <c r="R66" s="10">
        <v>21.57</v>
      </c>
      <c r="S66" s="11">
        <v>1.6</v>
      </c>
    </row>
    <row r="67" spans="1:19" ht="16.8" x14ac:dyDescent="0.3">
      <c r="A67" s="1" t="s">
        <v>21</v>
      </c>
      <c r="B67" s="20">
        <v>2022</v>
      </c>
      <c r="C67" s="3">
        <v>67.757000000000005</v>
      </c>
      <c r="D67" s="4">
        <f t="shared" ref="D67:D130" si="3">LOG(C67)</f>
        <v>1.8309541689830928</v>
      </c>
      <c r="E67" s="3">
        <v>4</v>
      </c>
      <c r="F67" s="3">
        <v>3.1565075</v>
      </c>
      <c r="G67" s="5">
        <v>408802379.0682286</v>
      </c>
      <c r="H67" s="4">
        <f t="shared" ref="H67:H130" si="4">LOG(G67)</f>
        <v>8.6115134145561996</v>
      </c>
      <c r="I67" s="6">
        <v>3265.64</v>
      </c>
      <c r="J67" s="4">
        <f t="shared" ref="J67:N90" si="5">LOG(I67)</f>
        <v>3.5139683069680525</v>
      </c>
      <c r="K67" s="7">
        <v>177492149</v>
      </c>
      <c r="L67" s="4">
        <f t="shared" si="5"/>
        <v>8.249179147693166</v>
      </c>
      <c r="M67" s="12">
        <v>711567</v>
      </c>
      <c r="N67" s="4">
        <f t="shared" si="5"/>
        <v>5.85221579881292</v>
      </c>
      <c r="O67" s="5">
        <v>6334</v>
      </c>
      <c r="P67" s="5">
        <v>1</v>
      </c>
      <c r="Q67" s="9">
        <v>0</v>
      </c>
      <c r="R67" s="10">
        <v>24.43</v>
      </c>
      <c r="S67" s="11">
        <v>1.85</v>
      </c>
    </row>
    <row r="68" spans="1:19" ht="16.8" x14ac:dyDescent="0.3">
      <c r="A68" s="1" t="s">
        <v>22</v>
      </c>
      <c r="B68" s="20">
        <v>2012</v>
      </c>
      <c r="C68" s="3">
        <v>1.554</v>
      </c>
      <c r="D68" s="4">
        <f t="shared" si="3"/>
        <v>0.19145101446489549</v>
      </c>
      <c r="E68" s="3">
        <v>4.03</v>
      </c>
      <c r="F68" s="3">
        <v>9.0947033959999999</v>
      </c>
      <c r="G68" s="5">
        <v>195590647.20568466</v>
      </c>
      <c r="H68" s="4">
        <f t="shared" si="4"/>
        <v>8.2913480837640794</v>
      </c>
      <c r="I68" s="6">
        <v>1371.8420000000001</v>
      </c>
      <c r="J68" s="4">
        <f t="shared" si="5"/>
        <v>3.1373040949862498</v>
      </c>
      <c r="K68" s="7">
        <v>16826852</v>
      </c>
      <c r="L68" s="4">
        <f t="shared" si="5"/>
        <v>7.2260028749237479</v>
      </c>
      <c r="M68" s="12">
        <v>1828105.1510000001</v>
      </c>
      <c r="N68" s="4">
        <f t="shared" si="5"/>
        <v>6.2620011723527869</v>
      </c>
      <c r="O68" s="5">
        <v>2897</v>
      </c>
      <c r="P68" s="5">
        <v>1</v>
      </c>
      <c r="Q68" s="9">
        <v>1</v>
      </c>
      <c r="R68" s="10">
        <v>12.83</v>
      </c>
      <c r="S68" s="11">
        <v>5.44</v>
      </c>
    </row>
    <row r="69" spans="1:19" ht="16.8" x14ac:dyDescent="0.3">
      <c r="A69" s="1" t="s">
        <v>22</v>
      </c>
      <c r="B69" s="2">
        <v>2013</v>
      </c>
      <c r="C69" s="3">
        <v>3.0379999999999998</v>
      </c>
      <c r="D69" s="4">
        <f t="shared" si="3"/>
        <v>0.48258776952676752</v>
      </c>
      <c r="E69" s="3">
        <v>6.09</v>
      </c>
      <c r="F69" s="3">
        <v>6.5926747590000003</v>
      </c>
      <c r="G69" s="5">
        <v>213708830.7769472</v>
      </c>
      <c r="H69" s="4">
        <f t="shared" si="4"/>
        <v>8.3298224682495192</v>
      </c>
      <c r="I69" s="6">
        <v>3851</v>
      </c>
      <c r="J69" s="4">
        <f t="shared" si="5"/>
        <v>3.5855735186227311</v>
      </c>
      <c r="K69" s="7">
        <v>18934292</v>
      </c>
      <c r="L69" s="4">
        <f t="shared" si="5"/>
        <v>7.2772490704158184</v>
      </c>
      <c r="M69" s="12">
        <v>2921311.6680000001</v>
      </c>
      <c r="N69" s="4">
        <f t="shared" si="5"/>
        <v>6.4655778933213535</v>
      </c>
      <c r="O69" s="5">
        <v>4663</v>
      </c>
      <c r="P69" s="5">
        <v>1</v>
      </c>
      <c r="Q69" s="9">
        <v>1</v>
      </c>
      <c r="R69" s="10">
        <v>22.23</v>
      </c>
      <c r="S69" s="11">
        <v>9.2899999999999991</v>
      </c>
    </row>
    <row r="70" spans="1:19" ht="16.8" x14ac:dyDescent="0.3">
      <c r="A70" s="1" t="s">
        <v>22</v>
      </c>
      <c r="B70" s="20">
        <v>2014</v>
      </c>
      <c r="C70" s="3">
        <v>4.5810000000000004</v>
      </c>
      <c r="D70" s="4">
        <f t="shared" si="3"/>
        <v>0.66096029177608362</v>
      </c>
      <c r="E70" s="3">
        <v>4.79</v>
      </c>
      <c r="F70" s="3">
        <v>4.0845544660000002</v>
      </c>
      <c r="G70" s="5">
        <v>233451484.77397391</v>
      </c>
      <c r="H70" s="4">
        <f t="shared" si="4"/>
        <v>8.368196640430428</v>
      </c>
      <c r="I70" s="6">
        <v>4613.2619999999997</v>
      </c>
      <c r="J70" s="4">
        <f t="shared" si="5"/>
        <v>3.6640081201021122</v>
      </c>
      <c r="K70" s="7">
        <v>25525349</v>
      </c>
      <c r="L70" s="4">
        <f t="shared" si="5"/>
        <v>7.4069716887702315</v>
      </c>
      <c r="M70" s="12">
        <v>1165028.1939999999</v>
      </c>
      <c r="N70" s="4">
        <f t="shared" si="5"/>
        <v>6.0663364355341081</v>
      </c>
      <c r="O70" s="5">
        <v>6865</v>
      </c>
      <c r="P70" s="5">
        <v>1</v>
      </c>
      <c r="Q70" s="9">
        <v>1</v>
      </c>
      <c r="R70" s="10">
        <v>29.53</v>
      </c>
      <c r="S70" s="11">
        <v>13.92</v>
      </c>
    </row>
    <row r="71" spans="1:19" ht="16.8" x14ac:dyDescent="0.3">
      <c r="A71" s="1" t="s">
        <v>22</v>
      </c>
      <c r="B71" s="2">
        <v>2015</v>
      </c>
      <c r="C71" s="3">
        <v>3.8639999999999999</v>
      </c>
      <c r="D71" s="4">
        <f t="shared" si="3"/>
        <v>0.58703711774345568</v>
      </c>
      <c r="E71" s="3">
        <v>8.99</v>
      </c>
      <c r="F71" s="3">
        <v>0.63120090500000003</v>
      </c>
      <c r="G71" s="5">
        <v>239258340.82553262</v>
      </c>
      <c r="H71" s="4">
        <f t="shared" si="4"/>
        <v>8.3788670867262578</v>
      </c>
      <c r="I71" s="6">
        <v>1456.114</v>
      </c>
      <c r="J71" s="4">
        <f t="shared" si="5"/>
        <v>3.1631953774720869</v>
      </c>
      <c r="K71" s="7">
        <v>27452932</v>
      </c>
      <c r="L71" s="4">
        <f t="shared" si="5"/>
        <v>7.4385887343387855</v>
      </c>
      <c r="M71" s="12">
        <v>3386572.3459999999</v>
      </c>
      <c r="N71" s="4">
        <f t="shared" si="5"/>
        <v>6.5297603577020089</v>
      </c>
      <c r="O71" s="5">
        <v>5574</v>
      </c>
      <c r="P71" s="5">
        <v>1</v>
      </c>
      <c r="Q71" s="9">
        <v>0</v>
      </c>
      <c r="R71" s="10">
        <v>26.54</v>
      </c>
      <c r="S71" s="11">
        <v>14.65</v>
      </c>
    </row>
    <row r="72" spans="1:19" ht="16.8" x14ac:dyDescent="0.3">
      <c r="A72" s="1" t="s">
        <v>22</v>
      </c>
      <c r="B72" s="20">
        <v>2016</v>
      </c>
      <c r="C72" s="3">
        <v>6.7709999999999999</v>
      </c>
      <c r="D72" s="4">
        <f t="shared" si="3"/>
        <v>0.83065281379742451</v>
      </c>
      <c r="E72" s="3">
        <v>5.05</v>
      </c>
      <c r="F72" s="3">
        <v>2.66824817</v>
      </c>
      <c r="G72" s="5">
        <v>257096001.17407528</v>
      </c>
      <c r="H72" s="4">
        <f t="shared" si="4"/>
        <v>8.4100953217555059</v>
      </c>
      <c r="I72" s="6">
        <v>1713.8320000000001</v>
      </c>
      <c r="J72" s="4">
        <f t="shared" si="5"/>
        <v>3.2339682475469802</v>
      </c>
      <c r="K72" s="7">
        <v>33283210</v>
      </c>
      <c r="L72" s="4">
        <f t="shared" si="5"/>
        <v>7.5222252051805389</v>
      </c>
      <c r="M72" s="13">
        <v>3416965.1329999999</v>
      </c>
      <c r="N72" s="4">
        <f t="shared" si="5"/>
        <v>6.5336405472439028</v>
      </c>
      <c r="O72" s="5">
        <v>8627</v>
      </c>
      <c r="P72" s="5">
        <v>1</v>
      </c>
      <c r="Q72" s="9">
        <v>1</v>
      </c>
      <c r="R72" s="10">
        <v>38.479999999999997</v>
      </c>
      <c r="S72" s="11">
        <v>22.48</v>
      </c>
    </row>
    <row r="73" spans="1:19" ht="16.8" x14ac:dyDescent="0.3">
      <c r="A73" s="1" t="s">
        <v>22</v>
      </c>
      <c r="B73" s="2">
        <v>2017</v>
      </c>
      <c r="C73" s="3">
        <v>11.722</v>
      </c>
      <c r="D73" s="4">
        <f t="shared" si="3"/>
        <v>1.0690017170456001</v>
      </c>
      <c r="E73" s="3">
        <v>2.59</v>
      </c>
      <c r="F73" s="3">
        <v>3.520256888</v>
      </c>
      <c r="G73" s="5">
        <v>281353626.10724455</v>
      </c>
      <c r="H73" s="4">
        <f t="shared" si="4"/>
        <v>8.4492525167468759</v>
      </c>
      <c r="I73" s="6">
        <v>1982.009</v>
      </c>
      <c r="J73" s="4">
        <f t="shared" si="5"/>
        <v>3.2971056222186119</v>
      </c>
      <c r="K73" s="7">
        <v>46161692</v>
      </c>
      <c r="L73" s="4">
        <f t="shared" si="5"/>
        <v>7.6642817189690815</v>
      </c>
      <c r="M73" s="12">
        <v>8875037.8479999993</v>
      </c>
      <c r="N73" s="4">
        <f t="shared" si="5"/>
        <v>6.9481702137995267</v>
      </c>
      <c r="O73" s="5">
        <v>6522</v>
      </c>
      <c r="P73" s="5">
        <v>1</v>
      </c>
      <c r="Q73" s="9">
        <v>0</v>
      </c>
      <c r="R73" s="10">
        <v>30.65</v>
      </c>
      <c r="S73" s="11">
        <v>18.57</v>
      </c>
    </row>
    <row r="74" spans="1:19" ht="16.8" x14ac:dyDescent="0.3">
      <c r="A74" s="1" t="s">
        <v>22</v>
      </c>
      <c r="B74" s="20">
        <v>2018</v>
      </c>
      <c r="C74" s="3">
        <v>10.403</v>
      </c>
      <c r="D74" s="4">
        <f t="shared" si="3"/>
        <v>1.0171585984878149</v>
      </c>
      <c r="E74" s="3">
        <v>3.61</v>
      </c>
      <c r="F74" s="3">
        <v>3.5396280590000004</v>
      </c>
      <c r="G74" s="5">
        <v>310106472.64296824</v>
      </c>
      <c r="H74" s="4">
        <f t="shared" si="4"/>
        <v>8.4915108310673428</v>
      </c>
      <c r="I74" s="6">
        <v>2174.0329999999999</v>
      </c>
      <c r="J74" s="4">
        <f t="shared" si="5"/>
        <v>3.3372661320267847</v>
      </c>
      <c r="K74" s="7">
        <v>55836458</v>
      </c>
      <c r="L74" s="4">
        <f t="shared" si="5"/>
        <v>7.7469178609072937</v>
      </c>
      <c r="M74" s="12">
        <v>29739.703000000001</v>
      </c>
      <c r="N74" s="4">
        <f t="shared" si="5"/>
        <v>4.4733366270606769</v>
      </c>
      <c r="O74" s="5">
        <v>4653</v>
      </c>
      <c r="P74" s="5">
        <v>1</v>
      </c>
      <c r="Q74" s="9">
        <v>1</v>
      </c>
      <c r="R74" s="10">
        <v>23.48</v>
      </c>
      <c r="S74" s="11">
        <v>13.06</v>
      </c>
    </row>
    <row r="75" spans="1:19" ht="16.8" x14ac:dyDescent="0.3">
      <c r="A75" s="1" t="s">
        <v>22</v>
      </c>
      <c r="B75" s="2">
        <v>2019</v>
      </c>
      <c r="C75" s="3">
        <v>10.997</v>
      </c>
      <c r="D75" s="4">
        <f t="shared" si="3"/>
        <v>1.0412742250542302</v>
      </c>
      <c r="E75" s="3">
        <v>5.16</v>
      </c>
      <c r="F75" s="3">
        <v>2.7958236749999998</v>
      </c>
      <c r="G75" s="5">
        <v>334365257.9202888</v>
      </c>
      <c r="H75" s="4">
        <f t="shared" si="4"/>
        <v>8.5242211459280064</v>
      </c>
      <c r="I75" s="6">
        <v>2456.665</v>
      </c>
      <c r="J75" s="4">
        <f t="shared" si="5"/>
        <v>3.3903459385025987</v>
      </c>
      <c r="K75" s="7">
        <v>63658193</v>
      </c>
      <c r="L75" s="4">
        <f t="shared" si="5"/>
        <v>7.8038543065867918</v>
      </c>
      <c r="M75" s="12">
        <v>22553.034</v>
      </c>
      <c r="N75" s="4">
        <f t="shared" si="5"/>
        <v>4.353204974631903</v>
      </c>
      <c r="O75" s="5">
        <v>3025</v>
      </c>
      <c r="P75" s="5">
        <v>1</v>
      </c>
      <c r="Q75" s="9">
        <v>0</v>
      </c>
      <c r="R75" s="10">
        <v>17.03</v>
      </c>
      <c r="S75" s="11">
        <v>8.36</v>
      </c>
    </row>
    <row r="76" spans="1:19" ht="16.8" x14ac:dyDescent="0.3">
      <c r="A76" s="1" t="s">
        <v>22</v>
      </c>
      <c r="B76" s="20">
        <v>2020</v>
      </c>
      <c r="C76" s="3">
        <v>23.048999999999999</v>
      </c>
      <c r="D76" s="4">
        <f t="shared" si="3"/>
        <v>1.3626520879077546</v>
      </c>
      <c r="E76" s="3">
        <v>6.09</v>
      </c>
      <c r="F76" s="3">
        <v>3.2209343669999999</v>
      </c>
      <c r="G76" s="5">
        <v>346615750.1665532</v>
      </c>
      <c r="H76" s="4">
        <f t="shared" si="4"/>
        <v>8.5398482931009561</v>
      </c>
      <c r="I76" s="6">
        <v>2627.819</v>
      </c>
      <c r="J76" s="4">
        <f t="shared" si="5"/>
        <v>3.4195954484035971</v>
      </c>
      <c r="K76" s="7">
        <v>90118503</v>
      </c>
      <c r="L76" s="4">
        <f t="shared" si="5"/>
        <v>7.9548139688458539</v>
      </c>
      <c r="M76" s="12">
        <v>11915645.555</v>
      </c>
      <c r="N76" s="4">
        <f t="shared" si="5"/>
        <v>7.0761175761310318</v>
      </c>
      <c r="O76" s="5">
        <v>4507</v>
      </c>
      <c r="P76" s="5">
        <v>1</v>
      </c>
      <c r="Q76" s="9">
        <v>0</v>
      </c>
      <c r="R76" s="10">
        <v>25.14</v>
      </c>
      <c r="S76" s="11">
        <v>11.53</v>
      </c>
    </row>
    <row r="77" spans="1:19" ht="16.8" x14ac:dyDescent="0.3">
      <c r="A77" s="1" t="s">
        <v>22</v>
      </c>
      <c r="B77" s="2">
        <v>2021</v>
      </c>
      <c r="C77" s="3">
        <v>35.107999999999997</v>
      </c>
      <c r="D77" s="4">
        <f t="shared" si="3"/>
        <v>1.545406089684553</v>
      </c>
      <c r="E77" s="3">
        <v>4.9000000000000004</v>
      </c>
      <c r="F77" s="3">
        <v>1.8347155479999999</v>
      </c>
      <c r="G77" s="5">
        <v>366137590.71780437</v>
      </c>
      <c r="H77" s="4">
        <f t="shared" si="4"/>
        <v>8.5636443194393905</v>
      </c>
      <c r="I77" s="6">
        <v>3528.607</v>
      </c>
      <c r="J77" s="4">
        <f t="shared" si="5"/>
        <v>3.5476032913337052</v>
      </c>
      <c r="K77" s="7">
        <v>149679790</v>
      </c>
      <c r="L77" s="4">
        <f t="shared" si="5"/>
        <v>8.1751631651793861</v>
      </c>
      <c r="M77" s="12">
        <v>11621470.092</v>
      </c>
      <c r="N77" s="4">
        <f t="shared" si="5"/>
        <v>7.065261068885663</v>
      </c>
      <c r="O77" s="5">
        <v>8630</v>
      </c>
      <c r="P77" s="5">
        <v>1</v>
      </c>
      <c r="Q77" s="9">
        <v>1</v>
      </c>
      <c r="R77" s="10">
        <v>45.97</v>
      </c>
      <c r="S77" s="11">
        <v>22.26</v>
      </c>
    </row>
    <row r="78" spans="1:19" ht="16.8" x14ac:dyDescent="0.3">
      <c r="A78" s="1" t="s">
        <v>22</v>
      </c>
      <c r="B78" s="20">
        <v>2022</v>
      </c>
      <c r="C78" s="3">
        <v>17.984999999999999</v>
      </c>
      <c r="D78" s="4">
        <f t="shared" si="3"/>
        <v>1.2549104421545298</v>
      </c>
      <c r="E78" s="3">
        <v>4</v>
      </c>
      <c r="F78" s="3">
        <v>3.1565075</v>
      </c>
      <c r="G78" s="5">
        <v>408802379.0682286</v>
      </c>
      <c r="H78" s="4">
        <f t="shared" si="4"/>
        <v>8.6115134145561996</v>
      </c>
      <c r="I78" s="6">
        <v>3265.64</v>
      </c>
      <c r="J78" s="4">
        <f t="shared" si="5"/>
        <v>3.5139683069680525</v>
      </c>
      <c r="K78" s="7">
        <v>141409274</v>
      </c>
      <c r="L78" s="4">
        <f t="shared" si="5"/>
        <v>8.1504778925934858</v>
      </c>
      <c r="M78" s="12">
        <v>17887504.647</v>
      </c>
      <c r="N78" s="4">
        <f t="shared" si="5"/>
        <v>7.2525497595933359</v>
      </c>
      <c r="O78" s="5">
        <v>1636</v>
      </c>
      <c r="P78" s="5">
        <v>1</v>
      </c>
      <c r="Q78" s="9">
        <v>1</v>
      </c>
      <c r="R78" s="10">
        <v>9.08</v>
      </c>
      <c r="S78" s="11">
        <v>4.87</v>
      </c>
    </row>
    <row r="79" spans="1:19" ht="16.8" x14ac:dyDescent="0.3">
      <c r="A79" s="1" t="s">
        <v>23</v>
      </c>
      <c r="B79" s="20">
        <v>2012</v>
      </c>
      <c r="C79" s="3">
        <v>4.6710000000000003</v>
      </c>
      <c r="D79" s="4">
        <f t="shared" si="3"/>
        <v>0.66940986728778273</v>
      </c>
      <c r="E79" s="3">
        <v>4.03</v>
      </c>
      <c r="F79" s="3">
        <v>9.0947033959999999</v>
      </c>
      <c r="G79" s="5">
        <v>195590647.20568466</v>
      </c>
      <c r="H79" s="4">
        <f t="shared" si="4"/>
        <v>8.2913480837640794</v>
      </c>
      <c r="I79" s="6">
        <v>1371.8420000000001</v>
      </c>
      <c r="J79" s="4">
        <f t="shared" si="5"/>
        <v>3.1373040949862498</v>
      </c>
      <c r="K79" s="7">
        <v>849294</v>
      </c>
      <c r="L79" s="4">
        <f t="shared" si="5"/>
        <v>5.9290580559391213</v>
      </c>
      <c r="M79" s="12">
        <v>9977.5589999999993</v>
      </c>
      <c r="N79" s="4">
        <f t="shared" si="5"/>
        <v>3.9990243045641716</v>
      </c>
      <c r="O79" s="5">
        <v>1328</v>
      </c>
      <c r="P79" s="5">
        <v>1</v>
      </c>
      <c r="Q79" s="9">
        <v>0</v>
      </c>
      <c r="R79" s="10">
        <v>9.0399999999999991</v>
      </c>
      <c r="S79" s="11">
        <v>6.41</v>
      </c>
    </row>
    <row r="80" spans="1:19" ht="16.8" x14ac:dyDescent="0.3">
      <c r="A80" s="1" t="s">
        <v>23</v>
      </c>
      <c r="B80" s="2">
        <v>2013</v>
      </c>
      <c r="C80" s="3">
        <v>5.3689999999999998</v>
      </c>
      <c r="D80" s="4">
        <f t="shared" si="3"/>
        <v>0.72989340396323776</v>
      </c>
      <c r="E80" s="3">
        <v>6.09</v>
      </c>
      <c r="F80" s="3">
        <v>6.5926747590000003</v>
      </c>
      <c r="G80" s="5">
        <v>213708830.7769472</v>
      </c>
      <c r="H80" s="4">
        <f t="shared" si="4"/>
        <v>8.3298224682495192</v>
      </c>
      <c r="I80" s="6">
        <v>3851</v>
      </c>
      <c r="J80" s="4">
        <f t="shared" si="5"/>
        <v>3.5855735186227311</v>
      </c>
      <c r="K80" s="7">
        <v>726944</v>
      </c>
      <c r="L80" s="4">
        <f t="shared" si="5"/>
        <v>5.8615009563504756</v>
      </c>
      <c r="M80" s="12">
        <v>11464.174000000001</v>
      </c>
      <c r="N80" s="4">
        <f t="shared" si="5"/>
        <v>4.0593427690384836</v>
      </c>
      <c r="O80" s="5">
        <v>1193</v>
      </c>
      <c r="P80" s="5">
        <v>1</v>
      </c>
      <c r="Q80" s="9">
        <v>0</v>
      </c>
      <c r="R80" s="10">
        <v>8.01</v>
      </c>
      <c r="S80" s="11">
        <v>5.33</v>
      </c>
    </row>
    <row r="81" spans="1:19" ht="16.8" x14ac:dyDescent="0.3">
      <c r="A81" s="1" t="s">
        <v>23</v>
      </c>
      <c r="B81" s="20">
        <v>2014</v>
      </c>
      <c r="C81" s="3">
        <v>8.4890000000000008</v>
      </c>
      <c r="D81" s="4">
        <f t="shared" si="3"/>
        <v>0.92885653358191078</v>
      </c>
      <c r="E81" s="3">
        <v>4.79</v>
      </c>
      <c r="F81" s="3">
        <v>4.0845544660000002</v>
      </c>
      <c r="G81" s="5">
        <v>233451484.77397391</v>
      </c>
      <c r="H81" s="4">
        <f t="shared" si="4"/>
        <v>8.368196640430428</v>
      </c>
      <c r="I81" s="6">
        <v>4613.2619999999997</v>
      </c>
      <c r="J81" s="4">
        <f t="shared" si="5"/>
        <v>3.6640081201021122</v>
      </c>
      <c r="K81" s="7">
        <v>1564510</v>
      </c>
      <c r="L81" s="4">
        <f t="shared" si="5"/>
        <v>6.1943783434048321</v>
      </c>
      <c r="M81" s="12">
        <v>9678.0069999999996</v>
      </c>
      <c r="N81" s="4">
        <f t="shared" si="5"/>
        <v>3.9857859318933193</v>
      </c>
      <c r="O81" s="5">
        <v>2118</v>
      </c>
      <c r="P81" s="5">
        <v>1</v>
      </c>
      <c r="Q81" s="9">
        <v>0</v>
      </c>
      <c r="R81" s="10">
        <v>13.63</v>
      </c>
      <c r="S81" s="11">
        <v>8.9600000000000009</v>
      </c>
    </row>
    <row r="82" spans="1:19" ht="16.8" x14ac:dyDescent="0.3">
      <c r="A82" s="1" t="s">
        <v>23</v>
      </c>
      <c r="B82" s="2">
        <v>2015</v>
      </c>
      <c r="C82" s="3">
        <v>9.01</v>
      </c>
      <c r="D82" s="4">
        <f t="shared" si="3"/>
        <v>0.95472479097906293</v>
      </c>
      <c r="E82" s="3">
        <v>8.99</v>
      </c>
      <c r="F82" s="3">
        <v>0.63120090500000003</v>
      </c>
      <c r="G82" s="5">
        <v>239258340.82553262</v>
      </c>
      <c r="H82" s="4">
        <f t="shared" si="4"/>
        <v>8.3788670867262578</v>
      </c>
      <c r="I82" s="6">
        <v>1456.114</v>
      </c>
      <c r="J82" s="4">
        <f t="shared" si="5"/>
        <v>3.1631953774720869</v>
      </c>
      <c r="K82" s="7">
        <v>1332878</v>
      </c>
      <c r="L82" s="4">
        <f t="shared" si="5"/>
        <v>6.1247903997127633</v>
      </c>
      <c r="M82" s="12">
        <v>6101.9589999999998</v>
      </c>
      <c r="N82" s="4">
        <f t="shared" si="5"/>
        <v>3.7854692852248446</v>
      </c>
      <c r="O82" s="5">
        <v>2070</v>
      </c>
      <c r="P82" s="5">
        <v>1</v>
      </c>
      <c r="Q82" s="9">
        <v>0</v>
      </c>
      <c r="R82" s="10">
        <v>13.81</v>
      </c>
      <c r="S82" s="11">
        <v>7.64</v>
      </c>
    </row>
    <row r="83" spans="1:19" ht="16.8" x14ac:dyDescent="0.3">
      <c r="A83" s="1" t="s">
        <v>23</v>
      </c>
      <c r="B83" s="20">
        <v>2016</v>
      </c>
      <c r="C83" s="3">
        <v>8.33</v>
      </c>
      <c r="D83" s="4">
        <f t="shared" si="3"/>
        <v>0.92064500140678762</v>
      </c>
      <c r="E83" s="3">
        <v>5.05</v>
      </c>
      <c r="F83" s="3">
        <v>2.66824817</v>
      </c>
      <c r="G83" s="5">
        <v>257096001.17407528</v>
      </c>
      <c r="H83" s="4">
        <f t="shared" si="4"/>
        <v>8.4100953217555059</v>
      </c>
      <c r="I83" s="6">
        <v>1713.8320000000001</v>
      </c>
      <c r="J83" s="4">
        <f t="shared" si="5"/>
        <v>3.2339682475469802</v>
      </c>
      <c r="K83" s="14">
        <v>2216769</v>
      </c>
      <c r="L83" s="4">
        <f t="shared" si="5"/>
        <v>6.3457204395050146</v>
      </c>
      <c r="M83" s="12">
        <v>63666.232000000004</v>
      </c>
      <c r="N83" s="4">
        <f t="shared" si="5"/>
        <v>4.8039091474917424</v>
      </c>
      <c r="O83" s="5">
        <v>1826</v>
      </c>
      <c r="P83" s="5">
        <v>1</v>
      </c>
      <c r="Q83" s="9">
        <v>0</v>
      </c>
      <c r="R83" s="10">
        <v>12.71</v>
      </c>
      <c r="S83" s="11">
        <v>6.59</v>
      </c>
    </row>
    <row r="84" spans="1:19" ht="16.8" x14ac:dyDescent="0.3">
      <c r="A84" s="1" t="s">
        <v>23</v>
      </c>
      <c r="B84" s="2">
        <v>2017</v>
      </c>
      <c r="C84" s="3">
        <v>12.714</v>
      </c>
      <c r="D84" s="4">
        <f t="shared" si="3"/>
        <v>1.1042822070944383</v>
      </c>
      <c r="E84" s="3">
        <v>2.59</v>
      </c>
      <c r="F84" s="3">
        <v>3.520256888</v>
      </c>
      <c r="G84" s="5">
        <v>281353626.10724455</v>
      </c>
      <c r="H84" s="4">
        <f t="shared" si="4"/>
        <v>8.4492525167468759</v>
      </c>
      <c r="I84" s="6">
        <v>1982.009</v>
      </c>
      <c r="J84" s="4">
        <f t="shared" si="5"/>
        <v>3.2971056222186119</v>
      </c>
      <c r="K84" s="14">
        <v>2898078</v>
      </c>
      <c r="L84" s="4">
        <f t="shared" si="5"/>
        <v>6.4621100700632867</v>
      </c>
      <c r="M84" s="12">
        <v>35106.377</v>
      </c>
      <c r="N84" s="4">
        <f t="shared" si="5"/>
        <v>4.5453860123165164</v>
      </c>
      <c r="O84" s="5">
        <v>2372</v>
      </c>
      <c r="P84" s="5">
        <v>1</v>
      </c>
      <c r="Q84" s="9">
        <v>0</v>
      </c>
      <c r="R84" s="10">
        <v>14.74</v>
      </c>
      <c r="S84" s="11">
        <v>7.26</v>
      </c>
    </row>
    <row r="85" spans="1:19" ht="16.8" x14ac:dyDescent="0.3">
      <c r="A85" s="1" t="s">
        <v>23</v>
      </c>
      <c r="B85" s="20">
        <v>2018</v>
      </c>
      <c r="C85" s="3">
        <v>11.827999999999999</v>
      </c>
      <c r="D85" s="4">
        <f t="shared" si="3"/>
        <v>1.0729113158540799</v>
      </c>
      <c r="E85" s="3">
        <v>3.61</v>
      </c>
      <c r="F85" s="3">
        <v>3.5396280590000004</v>
      </c>
      <c r="G85" s="5">
        <v>310106472.64296824</v>
      </c>
      <c r="H85" s="4">
        <f t="shared" si="4"/>
        <v>8.4915108310673428</v>
      </c>
      <c r="I85" s="6">
        <v>2174.0329999999999</v>
      </c>
      <c r="J85" s="4">
        <f t="shared" si="5"/>
        <v>3.3372661320267847</v>
      </c>
      <c r="K85" s="14">
        <v>3672838</v>
      </c>
      <c r="L85" s="4">
        <f t="shared" si="5"/>
        <v>6.5650017730886496</v>
      </c>
      <c r="M85" s="12">
        <v>57359.665999999997</v>
      </c>
      <c r="N85" s="4">
        <f t="shared" si="5"/>
        <v>4.7586066138107324</v>
      </c>
      <c r="O85" s="5">
        <v>2611</v>
      </c>
      <c r="P85" s="5">
        <v>1</v>
      </c>
      <c r="Q85" s="9">
        <v>0</v>
      </c>
      <c r="R85" s="10">
        <v>14.66</v>
      </c>
      <c r="S85" s="11">
        <v>6.13</v>
      </c>
    </row>
    <row r="86" spans="1:19" ht="16.8" x14ac:dyDescent="0.3">
      <c r="A86" s="1" t="s">
        <v>23</v>
      </c>
      <c r="B86" s="2">
        <v>2019</v>
      </c>
      <c r="C86" s="3">
        <v>8.6760000000000002</v>
      </c>
      <c r="D86" s="4">
        <f t="shared" si="3"/>
        <v>0.93831954334215562</v>
      </c>
      <c r="E86" s="3">
        <v>5.16</v>
      </c>
      <c r="F86" s="3">
        <v>2.7958236749999998</v>
      </c>
      <c r="G86" s="5">
        <v>334365257.9202888</v>
      </c>
      <c r="H86" s="4">
        <f t="shared" si="4"/>
        <v>8.5242211459280064</v>
      </c>
      <c r="I86" s="6">
        <v>2456.665</v>
      </c>
      <c r="J86" s="4">
        <f t="shared" si="5"/>
        <v>3.3903459385025987</v>
      </c>
      <c r="K86" s="14">
        <v>3234978</v>
      </c>
      <c r="L86" s="4">
        <f t="shared" si="5"/>
        <v>6.5098713315237022</v>
      </c>
      <c r="M86" s="12">
        <v>66733.065000000002</v>
      </c>
      <c r="N86" s="4">
        <f t="shared" si="5"/>
        <v>4.8243410721311255</v>
      </c>
      <c r="O86" s="5">
        <v>1787</v>
      </c>
      <c r="P86" s="5">
        <v>1</v>
      </c>
      <c r="Q86" s="9">
        <v>0</v>
      </c>
      <c r="R86" s="10">
        <v>9.7799999999999994</v>
      </c>
      <c r="S86" s="11">
        <v>3.57</v>
      </c>
    </row>
    <row r="87" spans="1:19" ht="16.8" x14ac:dyDescent="0.3">
      <c r="A87" s="1" t="s">
        <v>23</v>
      </c>
      <c r="B87" s="20">
        <v>2020</v>
      </c>
      <c r="C87" s="3">
        <v>19.376000000000001</v>
      </c>
      <c r="D87" s="4">
        <f t="shared" si="3"/>
        <v>1.287264125798977</v>
      </c>
      <c r="E87" s="3">
        <v>6.09</v>
      </c>
      <c r="F87" s="3">
        <v>3.2209343669999999</v>
      </c>
      <c r="G87" s="5">
        <v>346615750.1665532</v>
      </c>
      <c r="H87" s="4">
        <f t="shared" si="4"/>
        <v>8.5398482931009561</v>
      </c>
      <c r="I87" s="6">
        <v>2627.819</v>
      </c>
      <c r="J87" s="4">
        <f t="shared" si="5"/>
        <v>3.4195954484035971</v>
      </c>
      <c r="K87" s="14">
        <v>4366801</v>
      </c>
      <c r="L87" s="4">
        <f t="shared" si="5"/>
        <v>6.6401634010875634</v>
      </c>
      <c r="M87" s="12">
        <v>59039.057999999997</v>
      </c>
      <c r="N87" s="4">
        <f t="shared" si="5"/>
        <v>4.7711394194676666</v>
      </c>
      <c r="O87" s="5">
        <v>2178</v>
      </c>
      <c r="P87" s="5">
        <v>1</v>
      </c>
      <c r="Q87" s="9">
        <v>0</v>
      </c>
      <c r="R87" s="10">
        <v>13.03</v>
      </c>
      <c r="S87" s="11">
        <v>4</v>
      </c>
    </row>
    <row r="88" spans="1:19" ht="16.8" x14ac:dyDescent="0.3">
      <c r="A88" s="1" t="s">
        <v>23</v>
      </c>
      <c r="B88" s="2">
        <v>2021</v>
      </c>
      <c r="C88" s="3">
        <v>45.085000000000001</v>
      </c>
      <c r="D88" s="4">
        <f t="shared" si="3"/>
        <v>1.654032074011051</v>
      </c>
      <c r="E88" s="3">
        <v>4.9000000000000004</v>
      </c>
      <c r="F88" s="3">
        <v>1.8347155479999999</v>
      </c>
      <c r="G88" s="5">
        <v>366137590.71780437</v>
      </c>
      <c r="H88" s="4">
        <f t="shared" si="4"/>
        <v>8.5636443194393905</v>
      </c>
      <c r="I88" s="6">
        <v>3528.607</v>
      </c>
      <c r="J88" s="4">
        <f t="shared" si="5"/>
        <v>3.5476032913337052</v>
      </c>
      <c r="K88" s="14">
        <v>7440182</v>
      </c>
      <c r="L88" s="4">
        <f t="shared" si="5"/>
        <v>6.8715835592863286</v>
      </c>
      <c r="M88" s="12">
        <v>165135.02299999999</v>
      </c>
      <c r="N88" s="4">
        <f t="shared" si="5"/>
        <v>5.2178391912674709</v>
      </c>
      <c r="O88" s="5">
        <v>3684</v>
      </c>
      <c r="P88" s="5">
        <v>1</v>
      </c>
      <c r="Q88" s="9">
        <v>0</v>
      </c>
      <c r="R88" s="10">
        <v>22.37</v>
      </c>
      <c r="S88" s="11">
        <v>6.23</v>
      </c>
    </row>
    <row r="89" spans="1:19" ht="16.8" x14ac:dyDescent="0.3">
      <c r="A89" s="1" t="s">
        <v>23</v>
      </c>
      <c r="B89" s="20">
        <v>2022</v>
      </c>
      <c r="C89" s="3">
        <v>17.032</v>
      </c>
      <c r="D89" s="4">
        <f t="shared" si="3"/>
        <v>1.2312656484302662</v>
      </c>
      <c r="E89" s="3">
        <v>4</v>
      </c>
      <c r="F89" s="3">
        <v>3.1565075</v>
      </c>
      <c r="G89" s="5">
        <v>408802379.0682286</v>
      </c>
      <c r="H89" s="4">
        <f t="shared" si="4"/>
        <v>8.6115134145561996</v>
      </c>
      <c r="I89" s="6">
        <v>3265.64</v>
      </c>
      <c r="J89" s="4">
        <f t="shared" si="5"/>
        <v>3.5139683069680525</v>
      </c>
      <c r="K89" s="14">
        <v>6335823</v>
      </c>
      <c r="L89" s="4">
        <f t="shared" si="5"/>
        <v>6.8018030361324122</v>
      </c>
      <c r="M89" s="12">
        <v>180336.15400000001</v>
      </c>
      <c r="N89" s="4">
        <f t="shared" si="5"/>
        <v>5.2560828033095781</v>
      </c>
      <c r="O89" s="5">
        <v>1427</v>
      </c>
      <c r="P89" s="5">
        <v>1</v>
      </c>
      <c r="Q89" s="9">
        <v>0</v>
      </c>
      <c r="R89" s="10">
        <v>9.2799999999999994</v>
      </c>
      <c r="S89" s="11">
        <v>3.3</v>
      </c>
    </row>
    <row r="90" spans="1:19" ht="16.8" x14ac:dyDescent="0.3">
      <c r="A90" s="1" t="s">
        <v>24</v>
      </c>
      <c r="B90" s="20">
        <v>2012</v>
      </c>
      <c r="C90" s="3">
        <v>3.1360000000000001</v>
      </c>
      <c r="D90" s="4">
        <f t="shared" si="3"/>
        <v>0.49637605401240087</v>
      </c>
      <c r="E90" s="3">
        <v>4.03</v>
      </c>
      <c r="F90" s="3">
        <v>9.0947033959999999</v>
      </c>
      <c r="G90" s="5">
        <v>195590647.20568466</v>
      </c>
      <c r="H90" s="4">
        <f t="shared" si="4"/>
        <v>8.2913480837640794</v>
      </c>
      <c r="I90" s="6">
        <v>1371.8420000000001</v>
      </c>
      <c r="J90" s="4">
        <f t="shared" si="5"/>
        <v>3.1373040949862498</v>
      </c>
      <c r="K90" s="14">
        <v>24634005</v>
      </c>
      <c r="L90" s="4">
        <f t="shared" si="5"/>
        <v>7.3915350252374195</v>
      </c>
      <c r="M90" s="12">
        <v>189226.76800000001</v>
      </c>
      <c r="N90" s="4">
        <f t="shared" si="5"/>
        <v>5.2769825716662142</v>
      </c>
      <c r="O90" s="5">
        <v>2466</v>
      </c>
      <c r="P90" s="5">
        <v>1</v>
      </c>
      <c r="Q90" s="9">
        <v>0</v>
      </c>
      <c r="R90" s="15">
        <v>20.49</v>
      </c>
      <c r="S90" s="11">
        <v>1.47</v>
      </c>
    </row>
    <row r="91" spans="1:19" ht="16.8" x14ac:dyDescent="0.3">
      <c r="A91" s="1" t="s">
        <v>24</v>
      </c>
      <c r="B91" s="2">
        <v>2013</v>
      </c>
      <c r="C91" s="16">
        <v>3.2269999999999999</v>
      </c>
      <c r="D91" s="17">
        <f t="shared" si="3"/>
        <v>0.50879896540390501</v>
      </c>
      <c r="E91" s="3">
        <v>6.09</v>
      </c>
      <c r="F91" s="3">
        <v>6.5926747590000003</v>
      </c>
      <c r="G91" s="5">
        <v>213708830.7769472</v>
      </c>
      <c r="H91" s="4">
        <f t="shared" si="4"/>
        <v>8.3298224682495192</v>
      </c>
      <c r="I91" s="6">
        <v>3851</v>
      </c>
      <c r="J91" s="4">
        <f t="shared" ref="J91:J154" si="6">LOG(I91)</f>
        <v>3.5855735186227311</v>
      </c>
      <c r="K91" s="18">
        <v>22917567</v>
      </c>
      <c r="L91" s="4">
        <f t="shared" ref="L91:L154" si="7">LOG(K91)</f>
        <v>7.3601685096932368</v>
      </c>
      <c r="M91" s="12">
        <v>639272.93999999994</v>
      </c>
      <c r="N91" s="4">
        <f t="shared" ref="N91:N154" si="8">LOG(M91)</f>
        <v>5.805686321425255</v>
      </c>
      <c r="O91" s="5">
        <v>2149</v>
      </c>
      <c r="P91" s="5">
        <v>1</v>
      </c>
      <c r="Q91" s="9">
        <v>1</v>
      </c>
      <c r="R91" s="19">
        <v>16.25</v>
      </c>
      <c r="S91" s="19">
        <v>1.28</v>
      </c>
    </row>
    <row r="92" spans="1:19" ht="16.8" x14ac:dyDescent="0.3">
      <c r="A92" s="1" t="s">
        <v>24</v>
      </c>
      <c r="B92" s="20">
        <v>2014</v>
      </c>
      <c r="C92" s="16">
        <v>3.6659999999999999</v>
      </c>
      <c r="D92" s="17">
        <f t="shared" si="3"/>
        <v>0.56419246062619788</v>
      </c>
      <c r="E92" s="3">
        <v>4.79</v>
      </c>
      <c r="F92" s="3">
        <v>4.0845544660000002</v>
      </c>
      <c r="G92" s="5">
        <v>233451484.77397391</v>
      </c>
      <c r="H92" s="4">
        <f t="shared" si="4"/>
        <v>8.368196640430428</v>
      </c>
      <c r="I92" s="6">
        <v>4613.2619999999997</v>
      </c>
      <c r="J92" s="4">
        <f t="shared" si="6"/>
        <v>3.6640081201021122</v>
      </c>
      <c r="K92" s="18">
        <v>23698990</v>
      </c>
      <c r="L92" s="4">
        <f t="shared" si="7"/>
        <v>7.3747298377074255</v>
      </c>
      <c r="M92" s="12">
        <v>361310.11700000003</v>
      </c>
      <c r="N92" s="4">
        <f t="shared" si="8"/>
        <v>5.5578801223644749</v>
      </c>
      <c r="O92" s="5">
        <v>2183</v>
      </c>
      <c r="P92" s="5">
        <v>1</v>
      </c>
      <c r="Q92" s="9">
        <v>0</v>
      </c>
      <c r="R92" s="19">
        <v>15.62</v>
      </c>
      <c r="S92" s="19">
        <v>1.3</v>
      </c>
    </row>
    <row r="93" spans="1:19" ht="16.8" x14ac:dyDescent="0.3">
      <c r="A93" s="1" t="s">
        <v>24</v>
      </c>
      <c r="B93" s="2">
        <v>2015</v>
      </c>
      <c r="C93" s="16">
        <v>4.335</v>
      </c>
      <c r="D93" s="17">
        <f t="shared" si="3"/>
        <v>0.63698910181222912</v>
      </c>
      <c r="E93" s="3">
        <v>8.99</v>
      </c>
      <c r="F93" s="3">
        <v>0.63120090500000003</v>
      </c>
      <c r="G93" s="5">
        <v>239258340.82553262</v>
      </c>
      <c r="H93" s="4">
        <f t="shared" si="4"/>
        <v>8.3788670867262578</v>
      </c>
      <c r="I93" s="6">
        <v>1456.114</v>
      </c>
      <c r="J93" s="4">
        <f t="shared" si="6"/>
        <v>3.1631953774720869</v>
      </c>
      <c r="K93" s="18">
        <v>24833489</v>
      </c>
      <c r="L93" s="4">
        <f t="shared" si="7"/>
        <v>7.3950377403761118</v>
      </c>
      <c r="M93" s="12">
        <v>287133</v>
      </c>
      <c r="N93" s="4">
        <f t="shared" si="8"/>
        <v>5.4580831085337893</v>
      </c>
      <c r="O93" s="5">
        <v>1967</v>
      </c>
      <c r="P93" s="5">
        <v>1</v>
      </c>
      <c r="Q93" s="9">
        <v>0</v>
      </c>
      <c r="R93" s="19">
        <v>12.56</v>
      </c>
      <c r="S93" s="19">
        <v>1.18</v>
      </c>
    </row>
    <row r="94" spans="1:19" ht="16.8" x14ac:dyDescent="0.3">
      <c r="A94" s="1" t="s">
        <v>24</v>
      </c>
      <c r="B94" s="20">
        <v>2016</v>
      </c>
      <c r="C94" s="16">
        <v>4.3609999999999998</v>
      </c>
      <c r="D94" s="17">
        <f t="shared" si="3"/>
        <v>0.63958608667342642</v>
      </c>
      <c r="E94" s="3">
        <v>5.05</v>
      </c>
      <c r="F94" s="3">
        <v>2.66824817</v>
      </c>
      <c r="G94" s="5">
        <v>257096001.17407528</v>
      </c>
      <c r="H94" s="4">
        <f t="shared" si="4"/>
        <v>8.4100953217555059</v>
      </c>
      <c r="I94" s="6">
        <v>1713.8320000000001</v>
      </c>
      <c r="J94" s="4">
        <f t="shared" si="6"/>
        <v>3.2339682475469802</v>
      </c>
      <c r="K94" s="18">
        <v>28042051</v>
      </c>
      <c r="L94" s="4">
        <f t="shared" si="7"/>
        <v>7.4478097748226961</v>
      </c>
      <c r="M94" s="12">
        <v>560725</v>
      </c>
      <c r="N94" s="4">
        <f t="shared" si="8"/>
        <v>5.7487499196084029</v>
      </c>
      <c r="O94" s="5">
        <v>1763</v>
      </c>
      <c r="P94" s="5">
        <v>1</v>
      </c>
      <c r="Q94" s="9">
        <v>1</v>
      </c>
      <c r="R94" s="19">
        <v>11.47</v>
      </c>
      <c r="S94" s="19">
        <v>1.2</v>
      </c>
    </row>
    <row r="95" spans="1:19" ht="16.8" x14ac:dyDescent="0.3">
      <c r="A95" s="1" t="s">
        <v>24</v>
      </c>
      <c r="B95" s="2">
        <v>2017</v>
      </c>
      <c r="C95" s="20">
        <v>8.6150000000000002</v>
      </c>
      <c r="D95" s="17">
        <f t="shared" si="3"/>
        <v>0.93525528178404727</v>
      </c>
      <c r="E95" s="3">
        <v>2.59</v>
      </c>
      <c r="F95" s="3">
        <v>3.520256888</v>
      </c>
      <c r="G95" s="5">
        <v>281353626.10724455</v>
      </c>
      <c r="H95" s="4">
        <f t="shared" si="4"/>
        <v>8.4492525167468759</v>
      </c>
      <c r="I95" s="6">
        <v>1982.009</v>
      </c>
      <c r="J95" s="4">
        <f t="shared" si="6"/>
        <v>3.2971056222186119</v>
      </c>
      <c r="K95" s="18">
        <v>39007337</v>
      </c>
      <c r="L95" s="4">
        <f t="shared" si="7"/>
        <v>7.5911463023835175</v>
      </c>
      <c r="M95" s="12">
        <v>502937</v>
      </c>
      <c r="N95" s="4">
        <f t="shared" si="8"/>
        <v>5.7015135869129114</v>
      </c>
      <c r="O95" s="5">
        <v>1998</v>
      </c>
      <c r="P95" s="5">
        <v>1</v>
      </c>
      <c r="Q95" s="9">
        <v>1</v>
      </c>
      <c r="R95" s="19">
        <v>12.32</v>
      </c>
      <c r="S95" s="19">
        <v>1.21</v>
      </c>
    </row>
    <row r="96" spans="1:19" ht="16.8" x14ac:dyDescent="0.3">
      <c r="A96" s="1" t="s">
        <v>24</v>
      </c>
      <c r="B96" s="20">
        <v>2018</v>
      </c>
      <c r="C96" s="16">
        <v>7.665</v>
      </c>
      <c r="D96" s="17">
        <f t="shared" si="3"/>
        <v>0.88451215919039394</v>
      </c>
      <c r="E96" s="3">
        <v>3.61</v>
      </c>
      <c r="F96" s="3">
        <v>3.5396280590000004</v>
      </c>
      <c r="G96" s="5">
        <v>310106472.64296824</v>
      </c>
      <c r="H96" s="4">
        <f t="shared" si="4"/>
        <v>8.4915108310673428</v>
      </c>
      <c r="I96" s="6">
        <v>2174.0329999999999</v>
      </c>
      <c r="J96" s="4">
        <f t="shared" si="6"/>
        <v>3.3372661320267847</v>
      </c>
      <c r="K96" s="18">
        <v>53375913</v>
      </c>
      <c r="L96" s="4">
        <f t="shared" si="7"/>
        <v>7.7273453167444766</v>
      </c>
      <c r="M96" s="12">
        <v>483966</v>
      </c>
      <c r="N96" s="4">
        <f t="shared" si="8"/>
        <v>5.6848148522827389</v>
      </c>
      <c r="O96" s="5">
        <v>3094</v>
      </c>
      <c r="P96" s="5">
        <v>1</v>
      </c>
      <c r="Q96" s="9">
        <v>1</v>
      </c>
      <c r="R96" s="19">
        <v>19.170000000000002</v>
      </c>
      <c r="S96" s="19">
        <v>1.81</v>
      </c>
    </row>
    <row r="97" spans="1:19" ht="16.8" x14ac:dyDescent="0.3">
      <c r="A97" s="1" t="s">
        <v>24</v>
      </c>
      <c r="B97" s="2">
        <v>2019</v>
      </c>
      <c r="C97" s="16">
        <v>9.6950000000000003</v>
      </c>
      <c r="D97" s="17">
        <f t="shared" si="3"/>
        <v>0.9865478134147242</v>
      </c>
      <c r="E97" s="3">
        <v>5.16</v>
      </c>
      <c r="F97" s="3">
        <v>2.7958236749999998</v>
      </c>
      <c r="G97" s="5">
        <v>334365257.9202888</v>
      </c>
      <c r="H97" s="4">
        <f t="shared" si="4"/>
        <v>8.5242211459280064</v>
      </c>
      <c r="I97" s="6">
        <v>2456.665</v>
      </c>
      <c r="J97" s="4">
        <f t="shared" si="6"/>
        <v>3.3903459385025987</v>
      </c>
      <c r="K97" s="18">
        <v>66161402</v>
      </c>
      <c r="L97" s="4">
        <f t="shared" si="7"/>
        <v>7.8206046996039262</v>
      </c>
      <c r="M97" s="12">
        <v>701576</v>
      </c>
      <c r="N97" s="4">
        <f t="shared" si="8"/>
        <v>5.846074723964251</v>
      </c>
      <c r="O97" s="5">
        <v>3596</v>
      </c>
      <c r="P97" s="5">
        <v>1</v>
      </c>
      <c r="Q97" s="9">
        <v>0</v>
      </c>
      <c r="R97" s="19">
        <v>21.13</v>
      </c>
      <c r="S97" s="19">
        <v>2.02</v>
      </c>
    </row>
    <row r="98" spans="1:19" ht="16.8" x14ac:dyDescent="0.3">
      <c r="A98" s="1" t="s">
        <v>24</v>
      </c>
      <c r="B98" s="20">
        <v>2020</v>
      </c>
      <c r="C98" s="16">
        <v>12.04</v>
      </c>
      <c r="D98" s="17">
        <f t="shared" si="3"/>
        <v>1.0806264869218056</v>
      </c>
      <c r="E98" s="3">
        <v>6.09</v>
      </c>
      <c r="F98" s="3">
        <v>3.2209343669999999</v>
      </c>
      <c r="G98" s="5">
        <v>346615750.1665532</v>
      </c>
      <c r="H98" s="4">
        <f t="shared" si="4"/>
        <v>8.5398482931009561</v>
      </c>
      <c r="I98" s="6">
        <v>2627.819</v>
      </c>
      <c r="J98" s="4">
        <f t="shared" si="6"/>
        <v>3.4195954484035971</v>
      </c>
      <c r="K98" s="18">
        <v>72995839</v>
      </c>
      <c r="L98" s="4">
        <f t="shared" si="7"/>
        <v>7.8632981046294494</v>
      </c>
      <c r="M98" s="12">
        <v>823253</v>
      </c>
      <c r="N98" s="4">
        <f t="shared" si="8"/>
        <v>5.9155333219907744</v>
      </c>
      <c r="O98" s="5">
        <v>3329</v>
      </c>
      <c r="P98" s="5">
        <v>0</v>
      </c>
      <c r="Q98" s="9">
        <v>0</v>
      </c>
      <c r="R98" s="19">
        <v>18.36</v>
      </c>
      <c r="S98" s="19">
        <v>1.82</v>
      </c>
    </row>
    <row r="99" spans="1:19" ht="16.8" x14ac:dyDescent="0.3">
      <c r="A99" s="1" t="s">
        <v>24</v>
      </c>
      <c r="B99" s="2">
        <v>2021</v>
      </c>
      <c r="C99" s="16">
        <v>20.419</v>
      </c>
      <c r="D99" s="17">
        <f t="shared" si="3"/>
        <v>1.3100344691359895</v>
      </c>
      <c r="E99" s="3">
        <v>4.9000000000000004</v>
      </c>
      <c r="F99" s="3">
        <v>1.8347155479999999</v>
      </c>
      <c r="G99" s="5">
        <v>366137590.71780437</v>
      </c>
      <c r="H99" s="4">
        <f t="shared" si="4"/>
        <v>8.5636443194393905</v>
      </c>
      <c r="I99" s="6">
        <v>3528.607</v>
      </c>
      <c r="J99" s="4">
        <f t="shared" si="6"/>
        <v>3.5476032913337052</v>
      </c>
      <c r="K99" s="18">
        <v>95031741</v>
      </c>
      <c r="L99" s="4">
        <f t="shared" si="7"/>
        <v>7.9778686856970547</v>
      </c>
      <c r="M99" s="12">
        <v>1259868</v>
      </c>
      <c r="N99" s="4">
        <f t="shared" si="8"/>
        <v>6.1003250452170414</v>
      </c>
      <c r="O99" s="5">
        <v>3904</v>
      </c>
      <c r="P99" s="5">
        <v>0</v>
      </c>
      <c r="Q99" s="9">
        <v>0</v>
      </c>
      <c r="R99" s="19">
        <v>22.56</v>
      </c>
      <c r="S99" s="19">
        <v>2.2999999999999998</v>
      </c>
    </row>
    <row r="100" spans="1:19" ht="16.8" x14ac:dyDescent="0.3">
      <c r="A100" s="1" t="s">
        <v>24</v>
      </c>
      <c r="B100" s="20">
        <v>2022</v>
      </c>
      <c r="C100" s="16">
        <v>15.013999999999999</v>
      </c>
      <c r="D100" s="17">
        <f t="shared" si="3"/>
        <v>1.1764964115303667</v>
      </c>
      <c r="E100" s="3">
        <v>4</v>
      </c>
      <c r="F100" s="3">
        <v>3.1565075</v>
      </c>
      <c r="G100" s="5">
        <v>408802379.0682286</v>
      </c>
      <c r="H100" s="4">
        <f t="shared" si="4"/>
        <v>8.6115134145561996</v>
      </c>
      <c r="I100" s="6">
        <v>3265.64</v>
      </c>
      <c r="J100" s="4">
        <f t="shared" si="6"/>
        <v>3.5139683069680525</v>
      </c>
      <c r="K100" s="18">
        <v>118640255</v>
      </c>
      <c r="L100" s="4">
        <f t="shared" si="7"/>
        <v>8.0742320714742526</v>
      </c>
      <c r="M100" s="12">
        <v>1748106</v>
      </c>
      <c r="N100" s="4">
        <f t="shared" si="8"/>
        <v>6.2425677634353027</v>
      </c>
      <c r="O100" s="5">
        <v>4328</v>
      </c>
      <c r="P100" s="5">
        <v>0</v>
      </c>
      <c r="Q100" s="9">
        <v>0</v>
      </c>
      <c r="R100" s="19">
        <v>24.61</v>
      </c>
      <c r="S100" s="19">
        <v>2.62</v>
      </c>
    </row>
    <row r="101" spans="1:19" ht="16.8" x14ac:dyDescent="0.3">
      <c r="A101" s="1" t="s">
        <v>25</v>
      </c>
      <c r="B101" s="20">
        <v>2012</v>
      </c>
      <c r="C101" s="16">
        <v>11.275</v>
      </c>
      <c r="D101" s="17">
        <f t="shared" si="3"/>
        <v>1.0521165505499981</v>
      </c>
      <c r="E101" s="3">
        <v>4.03</v>
      </c>
      <c r="F101" s="3">
        <v>9.0947033959999999</v>
      </c>
      <c r="G101" s="5">
        <v>195590647.20568466</v>
      </c>
      <c r="H101" s="4">
        <f t="shared" si="4"/>
        <v>8.2913480837640794</v>
      </c>
      <c r="I101" s="6">
        <v>1371.8420000000001</v>
      </c>
      <c r="J101" s="4">
        <f t="shared" si="6"/>
        <v>3.1373040949862498</v>
      </c>
      <c r="K101" s="18">
        <v>76885904</v>
      </c>
      <c r="L101" s="4">
        <f t="shared" si="7"/>
        <v>7.8858467250269317</v>
      </c>
      <c r="M101" s="12">
        <v>6111570</v>
      </c>
      <c r="N101" s="4">
        <f t="shared" si="8"/>
        <v>6.786152790398023</v>
      </c>
      <c r="O101" s="5">
        <v>2522</v>
      </c>
      <c r="P101" s="5">
        <v>1</v>
      </c>
      <c r="Q101" s="9">
        <v>0</v>
      </c>
      <c r="R101" s="19">
        <v>19.809999999999999</v>
      </c>
      <c r="S101" s="19">
        <v>1.28</v>
      </c>
    </row>
    <row r="102" spans="1:19" ht="16.8" x14ac:dyDescent="0.3">
      <c r="A102" s="1" t="s">
        <v>25</v>
      </c>
      <c r="B102" s="2">
        <v>2013</v>
      </c>
      <c r="C102" s="16">
        <v>10.042</v>
      </c>
      <c r="D102" s="17">
        <f t="shared" si="3"/>
        <v>1.0018202170383281</v>
      </c>
      <c r="E102" s="3">
        <v>6.09</v>
      </c>
      <c r="F102" s="3">
        <v>6.5926747590000003</v>
      </c>
      <c r="G102" s="5">
        <v>213708830.7769472</v>
      </c>
      <c r="H102" s="4">
        <f t="shared" si="4"/>
        <v>8.3298224682495192</v>
      </c>
      <c r="I102" s="6">
        <v>3851</v>
      </c>
      <c r="J102" s="4">
        <f t="shared" si="6"/>
        <v>3.5855735186227311</v>
      </c>
      <c r="K102" s="18">
        <v>70584050</v>
      </c>
      <c r="L102" s="4">
        <f t="shared" si="7"/>
        <v>7.848706573862283</v>
      </c>
      <c r="M102" s="12">
        <v>3225179</v>
      </c>
      <c r="N102" s="4">
        <f t="shared" si="8"/>
        <v>6.5085538233294074</v>
      </c>
      <c r="O102" s="5">
        <v>1863</v>
      </c>
      <c r="P102" s="5">
        <v>1</v>
      </c>
      <c r="Q102" s="9">
        <v>0</v>
      </c>
      <c r="R102" s="19">
        <v>13.21</v>
      </c>
      <c r="S102" s="19">
        <v>1.07</v>
      </c>
    </row>
    <row r="103" spans="1:19" ht="16.8" x14ac:dyDescent="0.3">
      <c r="A103" s="1" t="s">
        <v>25</v>
      </c>
      <c r="B103" s="20">
        <v>2014</v>
      </c>
      <c r="C103" s="16">
        <v>9.0920000000000005</v>
      </c>
      <c r="D103" s="17">
        <f t="shared" si="3"/>
        <v>0.95865942705293328</v>
      </c>
      <c r="E103" s="3">
        <v>4.79</v>
      </c>
      <c r="F103" s="3">
        <v>4.0845544660000002</v>
      </c>
      <c r="G103" s="5">
        <v>233451484.77397391</v>
      </c>
      <c r="H103" s="4">
        <f t="shared" si="4"/>
        <v>8.368196640430428</v>
      </c>
      <c r="I103" s="6">
        <v>4613.2619999999997</v>
      </c>
      <c r="J103" s="4">
        <f t="shared" si="6"/>
        <v>3.6640081201021122</v>
      </c>
      <c r="K103" s="18">
        <v>68845753</v>
      </c>
      <c r="L103" s="4">
        <f t="shared" si="7"/>
        <v>7.8378771543888144</v>
      </c>
      <c r="M103" s="12">
        <v>3205082</v>
      </c>
      <c r="N103" s="4">
        <f t="shared" si="8"/>
        <v>6.5058391451471778</v>
      </c>
      <c r="O103" s="5">
        <v>1534</v>
      </c>
      <c r="P103" s="5">
        <v>1</v>
      </c>
      <c r="Q103" s="9">
        <v>0</v>
      </c>
      <c r="R103" s="19">
        <v>10.47</v>
      </c>
      <c r="S103" s="19">
        <v>0.92</v>
      </c>
    </row>
    <row r="104" spans="1:19" ht="16.8" x14ac:dyDescent="0.3">
      <c r="A104" s="1" t="s">
        <v>25</v>
      </c>
      <c r="B104" s="2">
        <v>2015</v>
      </c>
      <c r="C104" s="16">
        <v>12.86</v>
      </c>
      <c r="D104" s="17">
        <f t="shared" si="3"/>
        <v>1.1092409685882032</v>
      </c>
      <c r="E104" s="3">
        <v>8.99</v>
      </c>
      <c r="F104" s="3">
        <v>0.63120090500000003</v>
      </c>
      <c r="G104" s="5">
        <v>239258340.82553262</v>
      </c>
      <c r="H104" s="4">
        <f t="shared" si="4"/>
        <v>8.3788670867262578</v>
      </c>
      <c r="I104" s="6">
        <v>1456.114</v>
      </c>
      <c r="J104" s="4">
        <f t="shared" si="6"/>
        <v>3.1631953774720869</v>
      </c>
      <c r="K104" s="18">
        <v>72217313</v>
      </c>
      <c r="L104" s="4">
        <f t="shared" si="7"/>
        <v>7.8586413255338705</v>
      </c>
      <c r="M104" s="12">
        <v>1912423</v>
      </c>
      <c r="N104" s="4">
        <f t="shared" si="8"/>
        <v>6.2815839581533366</v>
      </c>
      <c r="O104" s="5">
        <v>1530</v>
      </c>
      <c r="P104" s="5">
        <v>1</v>
      </c>
      <c r="Q104" s="9">
        <v>0</v>
      </c>
      <c r="R104" s="19">
        <v>10.25</v>
      </c>
      <c r="S104" s="19">
        <v>0.79</v>
      </c>
    </row>
    <row r="105" spans="1:19" ht="16.8" x14ac:dyDescent="0.3">
      <c r="A105" s="1" t="s">
        <v>25</v>
      </c>
      <c r="B105" s="20">
        <v>2016</v>
      </c>
      <c r="C105" s="16">
        <v>10.412000000000001</v>
      </c>
      <c r="D105" s="17">
        <f t="shared" si="3"/>
        <v>1.017534159437198</v>
      </c>
      <c r="E105" s="3">
        <v>5.05</v>
      </c>
      <c r="F105" s="3">
        <v>2.66824817</v>
      </c>
      <c r="G105" s="5">
        <v>257096001.17407528</v>
      </c>
      <c r="H105" s="4">
        <f t="shared" si="4"/>
        <v>8.4100953217555059</v>
      </c>
      <c r="I105" s="6">
        <v>1713.8320000000001</v>
      </c>
      <c r="J105" s="4">
        <f t="shared" si="6"/>
        <v>3.2339682475469802</v>
      </c>
      <c r="K105" s="18">
        <v>86394279</v>
      </c>
      <c r="L105" s="4">
        <f t="shared" si="7"/>
        <v>7.9364849845970209</v>
      </c>
      <c r="M105" s="12">
        <v>1852272</v>
      </c>
      <c r="N105" s="4">
        <f t="shared" si="8"/>
        <v>6.2677047617332233</v>
      </c>
      <c r="O105" s="5">
        <v>1812</v>
      </c>
      <c r="P105" s="5">
        <v>0</v>
      </c>
      <c r="Q105" s="9">
        <v>0</v>
      </c>
      <c r="R105" s="19">
        <v>11.59</v>
      </c>
      <c r="S105" s="19">
        <v>0.78</v>
      </c>
    </row>
    <row r="106" spans="1:19" ht="16.8" x14ac:dyDescent="0.3">
      <c r="A106" s="1" t="s">
        <v>25</v>
      </c>
      <c r="B106" s="2">
        <v>2017</v>
      </c>
      <c r="C106" s="16">
        <v>18.055</v>
      </c>
      <c r="D106" s="17">
        <f t="shared" si="3"/>
        <v>1.2565974927628454</v>
      </c>
      <c r="E106" s="3">
        <v>2.59</v>
      </c>
      <c r="F106" s="3">
        <v>3.520256888</v>
      </c>
      <c r="G106" s="5">
        <v>281353626.10724455</v>
      </c>
      <c r="H106" s="4">
        <f t="shared" si="4"/>
        <v>8.4492525167468759</v>
      </c>
      <c r="I106" s="6">
        <v>1982.009</v>
      </c>
      <c r="J106" s="4">
        <f t="shared" si="6"/>
        <v>3.2971056222186119</v>
      </c>
      <c r="K106" s="18">
        <v>107130123</v>
      </c>
      <c r="L106" s="4">
        <f t="shared" si="7"/>
        <v>8.0299116035420592</v>
      </c>
      <c r="M106" s="12">
        <v>1784649</v>
      </c>
      <c r="N106" s="4">
        <f t="shared" si="8"/>
        <v>6.2515528129677342</v>
      </c>
      <c r="O106" s="5">
        <v>1996</v>
      </c>
      <c r="P106" s="5">
        <v>1</v>
      </c>
      <c r="Q106" s="9">
        <v>0</v>
      </c>
      <c r="R106" s="19">
        <v>11.98</v>
      </c>
      <c r="S106" s="19">
        <v>0.73</v>
      </c>
    </row>
    <row r="107" spans="1:19" ht="16.8" x14ac:dyDescent="0.3">
      <c r="A107" s="1" t="s">
        <v>25</v>
      </c>
      <c r="B107" s="20">
        <v>2018</v>
      </c>
      <c r="C107" s="16">
        <v>13.692</v>
      </c>
      <c r="D107" s="17">
        <f t="shared" si="3"/>
        <v>1.1364668904658395</v>
      </c>
      <c r="E107" s="3">
        <v>3.61</v>
      </c>
      <c r="F107" s="3">
        <v>3.5396280590000004</v>
      </c>
      <c r="G107" s="5">
        <v>310106472.64296824</v>
      </c>
      <c r="H107" s="4">
        <f t="shared" si="4"/>
        <v>8.4915108310673428</v>
      </c>
      <c r="I107" s="6">
        <v>2174.0329999999999</v>
      </c>
      <c r="J107" s="4">
        <f t="shared" si="6"/>
        <v>3.3372661320267847</v>
      </c>
      <c r="K107" s="18">
        <v>113345594</v>
      </c>
      <c r="L107" s="4">
        <f t="shared" si="7"/>
        <v>8.054404642780332</v>
      </c>
      <c r="M107" s="12">
        <v>1006229</v>
      </c>
      <c r="N107" s="4">
        <f t="shared" si="8"/>
        <v>6.0026968297443339</v>
      </c>
      <c r="O107" s="5">
        <v>1454</v>
      </c>
      <c r="P107" s="5">
        <v>0</v>
      </c>
      <c r="Q107" s="9">
        <v>0</v>
      </c>
      <c r="R107" s="19">
        <v>8.25</v>
      </c>
      <c r="S107" s="19">
        <v>0.48</v>
      </c>
    </row>
    <row r="108" spans="1:19" ht="16.8" x14ac:dyDescent="0.3">
      <c r="A108" s="1" t="s">
        <v>25</v>
      </c>
      <c r="B108" s="2">
        <v>2019</v>
      </c>
      <c r="C108" s="16">
        <v>15.89</v>
      </c>
      <c r="D108" s="17">
        <f t="shared" si="3"/>
        <v>1.2011238972073797</v>
      </c>
      <c r="E108" s="3">
        <v>5.16</v>
      </c>
      <c r="F108" s="3">
        <v>2.7958236749999998</v>
      </c>
      <c r="G108" s="5">
        <v>334365257.9202888</v>
      </c>
      <c r="H108" s="4">
        <f t="shared" si="4"/>
        <v>8.5242211459280064</v>
      </c>
      <c r="I108" s="6">
        <v>2456.665</v>
      </c>
      <c r="J108" s="4">
        <f t="shared" si="6"/>
        <v>3.3903459385025987</v>
      </c>
      <c r="K108" s="18">
        <v>135275253</v>
      </c>
      <c r="L108" s="4">
        <f t="shared" si="7"/>
        <v>8.1312183548493149</v>
      </c>
      <c r="M108" s="12">
        <v>378539</v>
      </c>
      <c r="N108" s="4">
        <f t="shared" si="8"/>
        <v>5.5781106304998938</v>
      </c>
      <c r="O108" s="5">
        <v>2541</v>
      </c>
      <c r="P108" s="5">
        <v>1</v>
      </c>
      <c r="Q108" s="9">
        <v>0</v>
      </c>
      <c r="R108" s="19">
        <v>13.07</v>
      </c>
      <c r="S108" s="19">
        <v>0.79</v>
      </c>
    </row>
    <row r="109" spans="1:19" ht="16.8" x14ac:dyDescent="0.3">
      <c r="A109" s="1" t="s">
        <v>25</v>
      </c>
      <c r="B109" s="20">
        <v>2020</v>
      </c>
      <c r="C109" s="16">
        <v>26.138000000000002</v>
      </c>
      <c r="D109" s="17">
        <f t="shared" si="3"/>
        <v>1.4172723536273164</v>
      </c>
      <c r="E109" s="3">
        <v>6.09</v>
      </c>
      <c r="F109" s="3">
        <v>3.2209343669999999</v>
      </c>
      <c r="G109" s="5">
        <v>346615750.1665532</v>
      </c>
      <c r="H109" s="4">
        <f t="shared" si="4"/>
        <v>8.5398482931009561</v>
      </c>
      <c r="I109" s="6">
        <v>2627.819</v>
      </c>
      <c r="J109" s="4">
        <f t="shared" si="6"/>
        <v>3.4195954484035971</v>
      </c>
      <c r="K109" s="18">
        <v>143518568</v>
      </c>
      <c r="L109" s="4">
        <f t="shared" si="7"/>
        <v>8.1569080924168453</v>
      </c>
      <c r="M109" s="12">
        <v>715459</v>
      </c>
      <c r="N109" s="4">
        <f t="shared" si="8"/>
        <v>5.8545847511860192</v>
      </c>
      <c r="O109" s="5">
        <v>3678</v>
      </c>
      <c r="P109" s="5">
        <v>1</v>
      </c>
      <c r="Q109" s="9">
        <v>0</v>
      </c>
      <c r="R109" s="19">
        <v>16.829999999999998</v>
      </c>
      <c r="S109" s="19">
        <v>1.06</v>
      </c>
    </row>
    <row r="110" spans="1:19" ht="16.8" x14ac:dyDescent="0.3">
      <c r="A110" s="1" t="s">
        <v>25</v>
      </c>
      <c r="B110" s="2">
        <v>2021</v>
      </c>
      <c r="C110" s="16">
        <v>33.902999999999999</v>
      </c>
      <c r="D110" s="17">
        <f t="shared" si="3"/>
        <v>1.5302381296425924</v>
      </c>
      <c r="E110" s="3">
        <v>4.9000000000000004</v>
      </c>
      <c r="F110" s="3">
        <v>1.8347155479999999</v>
      </c>
      <c r="G110" s="5">
        <v>366137590.71780437</v>
      </c>
      <c r="H110" s="4">
        <f t="shared" si="4"/>
        <v>8.5636443194393905</v>
      </c>
      <c r="I110" s="6">
        <v>3528.607</v>
      </c>
      <c r="J110" s="4">
        <f t="shared" si="6"/>
        <v>3.5476032913337052</v>
      </c>
      <c r="K110" s="18">
        <v>154883476</v>
      </c>
      <c r="L110" s="4">
        <f t="shared" si="7"/>
        <v>8.1900050868049643</v>
      </c>
      <c r="M110" s="12">
        <v>736408</v>
      </c>
      <c r="N110" s="4">
        <f t="shared" si="8"/>
        <v>5.8671184978343991</v>
      </c>
      <c r="O110" s="5">
        <v>3338</v>
      </c>
      <c r="P110" s="5">
        <v>1</v>
      </c>
      <c r="Q110" s="9">
        <v>0</v>
      </c>
      <c r="R110" s="19">
        <v>15.74</v>
      </c>
      <c r="S110" s="19">
        <v>0.98</v>
      </c>
    </row>
    <row r="111" spans="1:19" ht="16.8" x14ac:dyDescent="0.3">
      <c r="A111" s="1" t="s">
        <v>25</v>
      </c>
      <c r="B111" s="20">
        <v>2022</v>
      </c>
      <c r="C111" s="16">
        <v>27.245000000000001</v>
      </c>
      <c r="D111" s="17">
        <f t="shared" si="3"/>
        <v>1.4352868122401277</v>
      </c>
      <c r="E111" s="3">
        <v>4</v>
      </c>
      <c r="F111" s="3">
        <v>3.1565075</v>
      </c>
      <c r="G111" s="5">
        <v>408802379.0682286</v>
      </c>
      <c r="H111" s="4">
        <f t="shared" si="4"/>
        <v>8.6115134145561996</v>
      </c>
      <c r="I111" s="6">
        <v>3265.64</v>
      </c>
      <c r="J111" s="4">
        <f t="shared" si="6"/>
        <v>3.5139683069680525</v>
      </c>
      <c r="K111" s="18">
        <v>191762336</v>
      </c>
      <c r="L111" s="4">
        <f t="shared" si="7"/>
        <v>8.2827633115227322</v>
      </c>
      <c r="M111" s="12">
        <v>623680</v>
      </c>
      <c r="N111" s="4">
        <f t="shared" si="8"/>
        <v>5.7949618174375273</v>
      </c>
      <c r="O111" s="5">
        <v>3491</v>
      </c>
      <c r="P111" s="5">
        <v>1</v>
      </c>
      <c r="Q111" s="9">
        <v>0</v>
      </c>
      <c r="R111" s="19">
        <v>16.62</v>
      </c>
      <c r="S111" s="19">
        <v>1</v>
      </c>
    </row>
    <row r="112" spans="1:19" ht="16.8" x14ac:dyDescent="0.3">
      <c r="A112" s="1" t="s">
        <v>26</v>
      </c>
      <c r="B112" s="20">
        <v>2012</v>
      </c>
      <c r="C112" s="16">
        <v>7.0979999999999999</v>
      </c>
      <c r="D112" s="17">
        <f t="shared" si="3"/>
        <v>0.851135995011574</v>
      </c>
      <c r="E112" s="3">
        <v>4.03</v>
      </c>
      <c r="F112" s="3">
        <v>9.0947033959999999</v>
      </c>
      <c r="G112" s="5">
        <v>195590647.20568466</v>
      </c>
      <c r="H112" s="4">
        <f t="shared" si="4"/>
        <v>8.2913480837640794</v>
      </c>
      <c r="I112" s="6">
        <v>1371.8420000000001</v>
      </c>
      <c r="J112" s="4">
        <f t="shared" si="6"/>
        <v>3.1373040949862498</v>
      </c>
      <c r="K112" s="18">
        <v>2580465</v>
      </c>
      <c r="L112" s="4">
        <f t="shared" si="7"/>
        <v>6.4116979729157748</v>
      </c>
      <c r="M112" s="12">
        <v>234296.79800000001</v>
      </c>
      <c r="N112" s="4">
        <f t="shared" si="8"/>
        <v>5.369766353383846</v>
      </c>
      <c r="O112" s="5">
        <v>975</v>
      </c>
      <c r="P112" s="5">
        <v>1</v>
      </c>
      <c r="Q112" s="9">
        <v>0</v>
      </c>
      <c r="R112" s="19">
        <v>2.4</v>
      </c>
      <c r="S112" s="19">
        <v>1.52</v>
      </c>
    </row>
    <row r="113" spans="1:19" ht="16.8" x14ac:dyDescent="0.3">
      <c r="A113" s="1" t="s">
        <v>26</v>
      </c>
      <c r="B113" s="2">
        <v>2013</v>
      </c>
      <c r="C113" s="16">
        <v>12.164</v>
      </c>
      <c r="D113" s="17">
        <f t="shared" si="3"/>
        <v>1.0850764114720945</v>
      </c>
      <c r="E113" s="3">
        <v>6.09</v>
      </c>
      <c r="F113" s="3">
        <v>6.5926747590000003</v>
      </c>
      <c r="G113" s="5">
        <v>213708830.7769472</v>
      </c>
      <c r="H113" s="4">
        <f t="shared" si="4"/>
        <v>8.3298224682495192</v>
      </c>
      <c r="I113" s="6">
        <v>3851</v>
      </c>
      <c r="J113" s="4">
        <f t="shared" si="6"/>
        <v>3.5855735186227311</v>
      </c>
      <c r="K113" s="18">
        <v>2525138</v>
      </c>
      <c r="L113" s="4">
        <f t="shared" si="7"/>
        <v>6.4022851175045012</v>
      </c>
      <c r="M113" s="12">
        <v>665968.94299999997</v>
      </c>
      <c r="N113" s="4">
        <f t="shared" si="8"/>
        <v>5.8234539766204234</v>
      </c>
      <c r="O113" s="5">
        <v>1713</v>
      </c>
      <c r="P113" s="5">
        <v>1</v>
      </c>
      <c r="Q113" s="9">
        <v>1</v>
      </c>
      <c r="R113" s="19">
        <v>4.33</v>
      </c>
      <c r="S113" s="19">
        <v>2.66</v>
      </c>
    </row>
    <row r="114" spans="1:19" ht="16.8" x14ac:dyDescent="0.3">
      <c r="A114" s="1" t="s">
        <v>26</v>
      </c>
      <c r="B114" s="20">
        <v>2014</v>
      </c>
      <c r="C114" s="16">
        <v>11.135999999999999</v>
      </c>
      <c r="D114" s="17">
        <f t="shared" si="3"/>
        <v>1.0467292222664868</v>
      </c>
      <c r="E114" s="3">
        <v>4.79</v>
      </c>
      <c r="F114" s="3">
        <v>4.0845544660000002</v>
      </c>
      <c r="G114" s="5">
        <v>233451484.77397391</v>
      </c>
      <c r="H114" s="4">
        <f t="shared" si="4"/>
        <v>8.368196640430428</v>
      </c>
      <c r="I114" s="6">
        <v>4613.2619999999997</v>
      </c>
      <c r="J114" s="4">
        <f t="shared" si="6"/>
        <v>3.6640081201021122</v>
      </c>
      <c r="K114" s="21">
        <v>3012605</v>
      </c>
      <c r="L114" s="4">
        <f t="shared" si="7"/>
        <v>6.4789421925541824</v>
      </c>
      <c r="M114" s="12">
        <v>508346.505</v>
      </c>
      <c r="N114" s="4">
        <f t="shared" si="8"/>
        <v>5.7061598420281392</v>
      </c>
      <c r="O114" s="5">
        <v>4608</v>
      </c>
      <c r="P114" s="5">
        <v>1</v>
      </c>
      <c r="Q114" s="9">
        <v>1</v>
      </c>
      <c r="R114" s="19">
        <v>11.34</v>
      </c>
      <c r="S114" s="19">
        <v>6.72</v>
      </c>
    </row>
    <row r="115" spans="1:19" ht="16.8" x14ac:dyDescent="0.3">
      <c r="A115" s="1" t="s">
        <v>26</v>
      </c>
      <c r="B115" s="2">
        <v>2015</v>
      </c>
      <c r="C115" s="16">
        <v>17.204000000000001</v>
      </c>
      <c r="D115" s="17">
        <f t="shared" si="3"/>
        <v>1.2356294338820542</v>
      </c>
      <c r="E115" s="3">
        <v>8.99</v>
      </c>
      <c r="F115" s="3">
        <v>0.63120090500000003</v>
      </c>
      <c r="G115" s="5">
        <v>239258340.82553262</v>
      </c>
      <c r="H115" s="4">
        <f t="shared" si="4"/>
        <v>8.3788670867262578</v>
      </c>
      <c r="I115" s="6">
        <v>1456.114</v>
      </c>
      <c r="J115" s="4">
        <f t="shared" si="6"/>
        <v>3.1631953774720869</v>
      </c>
      <c r="K115" s="18">
        <v>3586332</v>
      </c>
      <c r="L115" s="4">
        <f t="shared" si="7"/>
        <v>6.5546504913315413</v>
      </c>
      <c r="M115" s="12">
        <v>487094.37092399999</v>
      </c>
      <c r="N115" s="4">
        <f t="shared" si="8"/>
        <v>5.6876131107034249</v>
      </c>
      <c r="O115" s="5">
        <v>3451</v>
      </c>
      <c r="P115" s="20">
        <v>1</v>
      </c>
      <c r="Q115" s="9">
        <v>0</v>
      </c>
      <c r="R115" s="19">
        <v>7.67</v>
      </c>
      <c r="S115" s="19">
        <v>4.68</v>
      </c>
    </row>
    <row r="116" spans="1:19" ht="16.8" x14ac:dyDescent="0.3">
      <c r="A116" s="1" t="s">
        <v>26</v>
      </c>
      <c r="B116" s="20">
        <v>2016</v>
      </c>
      <c r="C116" s="16">
        <v>17.238</v>
      </c>
      <c r="D116" s="17">
        <f t="shared" si="3"/>
        <v>1.2364868763755912</v>
      </c>
      <c r="E116" s="3">
        <v>5.05</v>
      </c>
      <c r="F116" s="3">
        <v>2.66824817</v>
      </c>
      <c r="G116" s="5">
        <v>257096001.17407528</v>
      </c>
      <c r="H116" s="4">
        <f t="shared" si="4"/>
        <v>8.4100953217555059</v>
      </c>
      <c r="I116" s="6">
        <v>1713.8320000000001</v>
      </c>
      <c r="J116" s="4">
        <f t="shared" si="6"/>
        <v>3.2339682475469802</v>
      </c>
      <c r="K116" s="18">
        <v>3741669</v>
      </c>
      <c r="L116" s="4">
        <f t="shared" si="7"/>
        <v>6.5730653657851352</v>
      </c>
      <c r="M116" s="12">
        <v>1017506.991</v>
      </c>
      <c r="N116" s="4">
        <f t="shared" si="8"/>
        <v>6.0075374018208869</v>
      </c>
      <c r="O116" s="5">
        <v>2572</v>
      </c>
      <c r="P116" s="20">
        <v>1</v>
      </c>
      <c r="Q116" s="9">
        <v>1</v>
      </c>
      <c r="R116" s="19">
        <v>6.79</v>
      </c>
      <c r="S116" s="19">
        <v>4.08</v>
      </c>
    </row>
    <row r="117" spans="1:19" ht="16.8" x14ac:dyDescent="0.3">
      <c r="A117" s="1" t="s">
        <v>26</v>
      </c>
      <c r="B117" s="2">
        <v>2017</v>
      </c>
      <c r="C117" s="16">
        <v>25.637</v>
      </c>
      <c r="D117" s="17">
        <f t="shared" si="3"/>
        <v>1.4088672033868193</v>
      </c>
      <c r="E117" s="3">
        <v>2.59</v>
      </c>
      <c r="F117" s="3">
        <v>3.520256888</v>
      </c>
      <c r="G117" s="5">
        <v>281353626.10724455</v>
      </c>
      <c r="H117" s="4">
        <f t="shared" si="4"/>
        <v>8.4492525167468759</v>
      </c>
      <c r="I117" s="6">
        <v>1982.009</v>
      </c>
      <c r="J117" s="4">
        <f t="shared" si="6"/>
        <v>3.2971056222186119</v>
      </c>
      <c r="K117" s="18">
        <v>3983963</v>
      </c>
      <c r="L117" s="4">
        <f t="shared" si="7"/>
        <v>6.6003152963755447</v>
      </c>
      <c r="M117" s="12">
        <v>1148149.2109999999</v>
      </c>
      <c r="N117" s="4">
        <f t="shared" si="8"/>
        <v>6.059998331705704</v>
      </c>
      <c r="O117" s="5">
        <v>2541</v>
      </c>
      <c r="P117" s="20">
        <v>1</v>
      </c>
      <c r="Q117" s="9">
        <v>0</v>
      </c>
      <c r="R117" s="19">
        <v>7.84</v>
      </c>
      <c r="S117" s="19">
        <v>4.74</v>
      </c>
    </row>
    <row r="118" spans="1:19" ht="16.8" x14ac:dyDescent="0.3">
      <c r="A118" s="1" t="s">
        <v>26</v>
      </c>
      <c r="B118" s="20">
        <v>2018</v>
      </c>
      <c r="C118" s="16">
        <v>21.280999999999999</v>
      </c>
      <c r="D118" s="17">
        <f t="shared" si="3"/>
        <v>1.3279920317187781</v>
      </c>
      <c r="E118" s="3">
        <v>3.61</v>
      </c>
      <c r="F118" s="3">
        <v>3.5396280590000004</v>
      </c>
      <c r="G118" s="5">
        <v>310106472.64296824</v>
      </c>
      <c r="H118" s="4">
        <f t="shared" si="4"/>
        <v>8.4915108310673428</v>
      </c>
      <c r="I118" s="6">
        <v>2174.0329999999999</v>
      </c>
      <c r="J118" s="4">
        <f t="shared" si="6"/>
        <v>3.3372661320267847</v>
      </c>
      <c r="K118" s="18">
        <v>2707556</v>
      </c>
      <c r="L118" s="4">
        <f t="shared" si="7"/>
        <v>6.4325774478419477</v>
      </c>
      <c r="M118" s="12">
        <v>875894.80599999998</v>
      </c>
      <c r="N118" s="4">
        <f t="shared" si="8"/>
        <v>5.9424519510117007</v>
      </c>
      <c r="O118" s="5">
        <v>6344</v>
      </c>
      <c r="P118" s="20">
        <v>1</v>
      </c>
      <c r="Q118" s="9">
        <v>1</v>
      </c>
      <c r="R118" s="19">
        <v>27.13</v>
      </c>
      <c r="S118" s="19">
        <v>17.37</v>
      </c>
    </row>
    <row r="119" spans="1:19" ht="16.8" x14ac:dyDescent="0.3">
      <c r="A119" s="1" t="s">
        <v>26</v>
      </c>
      <c r="B119" s="2">
        <v>2019</v>
      </c>
      <c r="C119" s="16">
        <v>20.071999999999999</v>
      </c>
      <c r="D119" s="17">
        <f t="shared" si="3"/>
        <v>1.3025906483065541</v>
      </c>
      <c r="E119" s="3">
        <v>5.16</v>
      </c>
      <c r="F119" s="3">
        <v>2.7958236749999998</v>
      </c>
      <c r="G119" s="5">
        <v>334365257.9202888</v>
      </c>
      <c r="H119" s="4">
        <f t="shared" si="4"/>
        <v>8.5242211459280064</v>
      </c>
      <c r="I119" s="6">
        <v>2456.665</v>
      </c>
      <c r="J119" s="4">
        <f t="shared" si="6"/>
        <v>3.3903459385025987</v>
      </c>
      <c r="K119" s="18">
        <v>2642914</v>
      </c>
      <c r="L119" s="4">
        <f t="shared" si="7"/>
        <v>6.4220830314884614</v>
      </c>
      <c r="M119" s="12">
        <v>379341.31699999998</v>
      </c>
      <c r="N119" s="4">
        <f t="shared" si="8"/>
        <v>5.5790301476536923</v>
      </c>
      <c r="O119" s="5">
        <v>1741</v>
      </c>
      <c r="P119" s="20">
        <v>1</v>
      </c>
      <c r="Q119" s="9">
        <v>1</v>
      </c>
      <c r="R119" s="19">
        <v>7.9</v>
      </c>
      <c r="S119" s="19">
        <v>5.14</v>
      </c>
    </row>
    <row r="120" spans="1:19" ht="16.8" x14ac:dyDescent="0.3">
      <c r="A120" s="1" t="s">
        <v>26</v>
      </c>
      <c r="B120" s="20">
        <v>2020</v>
      </c>
      <c r="C120" s="16">
        <v>30.076000000000001</v>
      </c>
      <c r="D120" s="17">
        <f t="shared" si="3"/>
        <v>1.4782200761535904</v>
      </c>
      <c r="E120" s="3">
        <v>6.09</v>
      </c>
      <c r="F120" s="3">
        <v>3.2209343669999999</v>
      </c>
      <c r="G120" s="5">
        <v>346615750.1665532</v>
      </c>
      <c r="H120" s="4">
        <f t="shared" si="4"/>
        <v>8.5398482931009561</v>
      </c>
      <c r="I120" s="6">
        <v>2627.819</v>
      </c>
      <c r="J120" s="4">
        <f t="shared" si="6"/>
        <v>3.4195954484035971</v>
      </c>
      <c r="K120" s="18">
        <v>2605666</v>
      </c>
      <c r="L120" s="4">
        <f t="shared" si="7"/>
        <v>6.4159187461220561</v>
      </c>
      <c r="M120" s="12">
        <v>145573.87299999999</v>
      </c>
      <c r="N120" s="4">
        <f t="shared" si="8"/>
        <v>5.1630834365834239</v>
      </c>
      <c r="O120" s="5">
        <v>1249</v>
      </c>
      <c r="P120" s="20">
        <v>1</v>
      </c>
      <c r="Q120" s="9">
        <v>0</v>
      </c>
      <c r="R120" s="19">
        <v>5.64</v>
      </c>
      <c r="S120" s="19">
        <v>4.3099999999999996</v>
      </c>
    </row>
    <row r="121" spans="1:19" ht="16.8" x14ac:dyDescent="0.3">
      <c r="A121" s="1" t="s">
        <v>26</v>
      </c>
      <c r="B121" s="2">
        <v>2021</v>
      </c>
      <c r="C121" s="16">
        <v>44.753999999999998</v>
      </c>
      <c r="D121" s="17">
        <f t="shared" si="3"/>
        <v>1.6508318575355734</v>
      </c>
      <c r="E121" s="3">
        <v>4.9000000000000004</v>
      </c>
      <c r="F121" s="3">
        <v>1.8347155479999999</v>
      </c>
      <c r="G121" s="5">
        <v>366137590.71780437</v>
      </c>
      <c r="H121" s="4">
        <f t="shared" si="4"/>
        <v>8.5636443194393905</v>
      </c>
      <c r="I121" s="6">
        <v>3528.607</v>
      </c>
      <c r="J121" s="4">
        <f t="shared" si="6"/>
        <v>3.5476032913337052</v>
      </c>
      <c r="K121" s="18">
        <v>3206290</v>
      </c>
      <c r="L121" s="4">
        <f t="shared" si="7"/>
        <v>6.5060028005208945</v>
      </c>
      <c r="M121" s="12">
        <v>285746.69900000002</v>
      </c>
      <c r="N121" s="4">
        <f t="shared" si="8"/>
        <v>5.4559812220441684</v>
      </c>
      <c r="O121" s="5">
        <v>2032</v>
      </c>
      <c r="P121" s="20">
        <v>1</v>
      </c>
      <c r="Q121" s="9">
        <v>0</v>
      </c>
      <c r="R121" s="19">
        <v>8.98</v>
      </c>
      <c r="S121" s="19">
        <v>3.36</v>
      </c>
    </row>
    <row r="122" spans="1:19" ht="16.8" x14ac:dyDescent="0.3">
      <c r="A122" s="1" t="s">
        <v>26</v>
      </c>
      <c r="B122" s="20">
        <v>2022</v>
      </c>
      <c r="C122" s="16">
        <v>44.033999999999999</v>
      </c>
      <c r="D122" s="17">
        <f t="shared" si="3"/>
        <v>1.6437881380832722</v>
      </c>
      <c r="E122" s="3">
        <v>4</v>
      </c>
      <c r="F122" s="3">
        <v>3.1565075</v>
      </c>
      <c r="G122" s="5">
        <v>408802379.0682286</v>
      </c>
      <c r="H122" s="4">
        <f t="shared" si="4"/>
        <v>8.6115134145561996</v>
      </c>
      <c r="I122" s="6">
        <v>3265.64</v>
      </c>
      <c r="J122" s="4">
        <f t="shared" si="6"/>
        <v>3.5139683069680525</v>
      </c>
      <c r="K122" s="18">
        <v>3898244</v>
      </c>
      <c r="L122" s="4">
        <f t="shared" si="7"/>
        <v>6.5908690191164228</v>
      </c>
      <c r="M122" s="12">
        <v>2601389.4550000001</v>
      </c>
      <c r="N122" s="4">
        <f t="shared" si="8"/>
        <v>6.4152053754546001</v>
      </c>
      <c r="O122" s="5">
        <v>3298</v>
      </c>
      <c r="P122" s="20">
        <v>1</v>
      </c>
      <c r="Q122" s="9">
        <v>0</v>
      </c>
      <c r="R122" s="19">
        <v>13.26</v>
      </c>
      <c r="S122" s="19">
        <v>3.75</v>
      </c>
    </row>
    <row r="123" spans="1:19" ht="16.8" x14ac:dyDescent="0.3">
      <c r="A123" s="1" t="s">
        <v>27</v>
      </c>
      <c r="B123" s="20">
        <v>2012</v>
      </c>
      <c r="C123" s="16">
        <v>16.794</v>
      </c>
      <c r="D123" s="17">
        <f t="shared" si="3"/>
        <v>1.2251541488498061</v>
      </c>
      <c r="E123" s="3">
        <v>4.03</v>
      </c>
      <c r="F123" s="3">
        <v>9.0947033959999999</v>
      </c>
      <c r="G123" s="5">
        <v>195590647.20568466</v>
      </c>
      <c r="H123" s="4">
        <f t="shared" si="4"/>
        <v>8.2913480837640794</v>
      </c>
      <c r="I123" s="6">
        <v>1371.8420000000001</v>
      </c>
      <c r="J123" s="4">
        <f t="shared" si="6"/>
        <v>3.1373040949862498</v>
      </c>
      <c r="K123" s="18">
        <v>11929456</v>
      </c>
      <c r="L123" s="4">
        <f t="shared" si="7"/>
        <v>7.0766206396816678</v>
      </c>
      <c r="M123" s="12">
        <v>812853.75199999998</v>
      </c>
      <c r="N123" s="4">
        <f t="shared" si="8"/>
        <v>5.9100124147050108</v>
      </c>
      <c r="O123" s="5">
        <v>6854</v>
      </c>
      <c r="P123" s="20">
        <v>1</v>
      </c>
      <c r="Q123" s="9">
        <v>0</v>
      </c>
      <c r="R123" s="19">
        <v>21.82</v>
      </c>
      <c r="S123" s="19">
        <v>7.65</v>
      </c>
    </row>
    <row r="124" spans="1:19" ht="16.8" x14ac:dyDescent="0.3">
      <c r="A124" s="1" t="s">
        <v>27</v>
      </c>
      <c r="B124" s="2">
        <v>2013</v>
      </c>
      <c r="C124" s="16">
        <v>28.414000000000001</v>
      </c>
      <c r="D124" s="17">
        <f t="shared" si="3"/>
        <v>1.4535323761251069</v>
      </c>
      <c r="E124" s="3">
        <v>6.09</v>
      </c>
      <c r="F124" s="3">
        <v>6.5926747590000003</v>
      </c>
      <c r="G124" s="5">
        <v>213708830.7769472</v>
      </c>
      <c r="H124" s="4">
        <f t="shared" si="4"/>
        <v>8.3298224682495192</v>
      </c>
      <c r="I124" s="6">
        <v>3851</v>
      </c>
      <c r="J124" s="4">
        <f t="shared" si="6"/>
        <v>3.5855735186227311</v>
      </c>
      <c r="K124" s="22">
        <v>14866680</v>
      </c>
      <c r="L124" s="4">
        <f t="shared" si="7"/>
        <v>7.1722139934940818</v>
      </c>
      <c r="M124" s="12">
        <v>235892.503</v>
      </c>
      <c r="N124" s="4">
        <f t="shared" si="8"/>
        <v>5.3727141386072192</v>
      </c>
      <c r="O124" s="5">
        <v>8378</v>
      </c>
      <c r="P124" s="20">
        <v>1</v>
      </c>
      <c r="Q124" s="9">
        <v>0</v>
      </c>
      <c r="R124" s="19">
        <v>22.38</v>
      </c>
      <c r="S124" s="19">
        <v>9.2799999999999994</v>
      </c>
    </row>
    <row r="125" spans="1:19" ht="16.8" x14ac:dyDescent="0.3">
      <c r="A125" s="1" t="s">
        <v>27</v>
      </c>
      <c r="B125" s="20">
        <v>2014</v>
      </c>
      <c r="C125" s="16">
        <v>34.08</v>
      </c>
      <c r="D125" s="17">
        <f t="shared" si="3"/>
        <v>1.5324995860946624</v>
      </c>
      <c r="E125" s="3">
        <v>4.79</v>
      </c>
      <c r="F125" s="3">
        <v>4.0845544660000002</v>
      </c>
      <c r="G125" s="5">
        <v>233451484.77397391</v>
      </c>
      <c r="H125" s="4">
        <f t="shared" si="4"/>
        <v>8.368196640430428</v>
      </c>
      <c r="I125" s="6">
        <v>4613.2619999999997</v>
      </c>
      <c r="J125" s="4">
        <f t="shared" si="6"/>
        <v>3.6640081201021122</v>
      </c>
      <c r="K125" s="18">
        <v>20884329</v>
      </c>
      <c r="L125" s="4">
        <f t="shared" si="7"/>
        <v>7.3198205262241354</v>
      </c>
      <c r="M125" s="12">
        <v>284971.14299999998</v>
      </c>
      <c r="N125" s="4">
        <f t="shared" si="8"/>
        <v>5.4548008843229727</v>
      </c>
      <c r="O125" s="5">
        <v>8534</v>
      </c>
      <c r="P125" s="20">
        <v>1</v>
      </c>
      <c r="Q125" s="9">
        <v>0</v>
      </c>
      <c r="R125" s="19">
        <v>22.7</v>
      </c>
      <c r="S125" s="19">
        <v>10.8</v>
      </c>
    </row>
    <row r="126" spans="1:19" ht="16.8" x14ac:dyDescent="0.3">
      <c r="A126" s="1" t="s">
        <v>27</v>
      </c>
      <c r="B126" s="2">
        <v>2015</v>
      </c>
      <c r="C126" s="16">
        <v>16.561</v>
      </c>
      <c r="D126" s="17">
        <f t="shared" si="3"/>
        <v>1.2190865571692524</v>
      </c>
      <c r="E126" s="3">
        <v>8.99</v>
      </c>
      <c r="F126" s="3">
        <v>0.63120090500000003</v>
      </c>
      <c r="G126" s="5">
        <v>239258340.82553262</v>
      </c>
      <c r="H126" s="4">
        <f t="shared" si="4"/>
        <v>8.3788670867262578</v>
      </c>
      <c r="I126" s="6">
        <v>1456.114</v>
      </c>
      <c r="J126" s="4">
        <f t="shared" si="6"/>
        <v>3.1631953774720869</v>
      </c>
      <c r="K126" s="18">
        <v>14444280</v>
      </c>
      <c r="L126" s="4">
        <f t="shared" si="7"/>
        <v>7.1596958985637276</v>
      </c>
      <c r="M126" s="12">
        <v>3513762</v>
      </c>
      <c r="N126" s="4">
        <f t="shared" si="8"/>
        <v>6.5457723417958267</v>
      </c>
      <c r="O126" s="5">
        <v>5190</v>
      </c>
      <c r="P126" s="20">
        <v>1</v>
      </c>
      <c r="Q126" s="9">
        <v>0</v>
      </c>
      <c r="R126" s="19">
        <v>13.43</v>
      </c>
      <c r="S126" s="19">
        <v>6.9</v>
      </c>
    </row>
    <row r="127" spans="1:19" ht="16.8" x14ac:dyDescent="0.3">
      <c r="A127" s="1" t="s">
        <v>27</v>
      </c>
      <c r="B127" s="20">
        <v>2016</v>
      </c>
      <c r="C127" s="16">
        <v>14.231</v>
      </c>
      <c r="D127" s="17">
        <f t="shared" si="3"/>
        <v>1.1532354186522955</v>
      </c>
      <c r="E127" s="3">
        <v>5.05</v>
      </c>
      <c r="F127" s="3">
        <v>2.66824817</v>
      </c>
      <c r="G127" s="5">
        <v>257096001.17407528</v>
      </c>
      <c r="H127" s="4">
        <f t="shared" si="4"/>
        <v>8.4100953217555059</v>
      </c>
      <c r="I127" s="6">
        <v>1713.8320000000001</v>
      </c>
      <c r="J127" s="4">
        <f t="shared" si="6"/>
        <v>3.2339682475469802</v>
      </c>
      <c r="K127" s="18">
        <v>5360002</v>
      </c>
      <c r="L127" s="4">
        <f t="shared" si="7"/>
        <v>6.72916495174292</v>
      </c>
      <c r="M127" s="12">
        <v>234952</v>
      </c>
      <c r="N127" s="4">
        <f t="shared" si="8"/>
        <v>5.3709791462530623</v>
      </c>
      <c r="O127" s="5">
        <v>367</v>
      </c>
      <c r="P127" s="20">
        <v>0</v>
      </c>
      <c r="Q127" s="9">
        <v>0</v>
      </c>
      <c r="R127" s="19">
        <v>0.97</v>
      </c>
      <c r="S127" s="19">
        <v>0.54</v>
      </c>
    </row>
    <row r="128" spans="1:19" ht="16.8" x14ac:dyDescent="0.3">
      <c r="A128" s="1" t="s">
        <v>27</v>
      </c>
      <c r="B128" s="2">
        <v>2017</v>
      </c>
      <c r="C128" s="16">
        <v>16.036000000000001</v>
      </c>
      <c r="D128" s="17">
        <f t="shared" si="3"/>
        <v>1.205096047578484</v>
      </c>
      <c r="E128" s="3">
        <v>2.59</v>
      </c>
      <c r="F128" s="3">
        <v>3.520256888</v>
      </c>
      <c r="G128" s="5">
        <v>281353626.10724455</v>
      </c>
      <c r="H128" s="4">
        <f t="shared" si="4"/>
        <v>8.4492525167468759</v>
      </c>
      <c r="I128" s="6">
        <v>1982.009</v>
      </c>
      <c r="J128" s="4">
        <f t="shared" si="6"/>
        <v>3.2971056222186119</v>
      </c>
      <c r="K128" s="18">
        <v>3890709</v>
      </c>
      <c r="L128" s="4">
        <f t="shared" si="7"/>
        <v>6.5900287495854668</v>
      </c>
      <c r="M128" s="12">
        <v>44320.688999999998</v>
      </c>
      <c r="N128" s="4">
        <f t="shared" si="8"/>
        <v>4.6466065032224524</v>
      </c>
      <c r="O128" s="5">
        <v>118</v>
      </c>
      <c r="P128" s="20">
        <v>1</v>
      </c>
      <c r="Q128" s="9">
        <v>0</v>
      </c>
      <c r="R128" s="19">
        <v>0.34</v>
      </c>
      <c r="S128" s="19">
        <v>0.2</v>
      </c>
    </row>
    <row r="129" spans="1:19" ht="16.8" x14ac:dyDescent="0.3">
      <c r="A129" s="1" t="s">
        <v>27</v>
      </c>
      <c r="B129" s="20">
        <v>2018</v>
      </c>
      <c r="C129" s="16">
        <v>9.8279999999999994</v>
      </c>
      <c r="D129" s="17">
        <f t="shared" si="3"/>
        <v>0.99246514780804329</v>
      </c>
      <c r="E129" s="3">
        <v>3.61</v>
      </c>
      <c r="F129" s="3">
        <v>3.5396280590000004</v>
      </c>
      <c r="G129" s="5">
        <v>310106472.64296824</v>
      </c>
      <c r="H129" s="4">
        <f t="shared" si="4"/>
        <v>8.4915108310673428</v>
      </c>
      <c r="I129" s="6">
        <v>2174.0329999999999</v>
      </c>
      <c r="J129" s="4">
        <f t="shared" si="6"/>
        <v>3.3372661320267847</v>
      </c>
      <c r="K129" s="18">
        <v>5500144</v>
      </c>
      <c r="L129" s="4">
        <f t="shared" si="7"/>
        <v>6.740374059964557</v>
      </c>
      <c r="M129" s="12">
        <v>78556.490000000005</v>
      </c>
      <c r="N129" s="4">
        <f t="shared" si="8"/>
        <v>4.8951820704040658</v>
      </c>
      <c r="O129" s="5">
        <v>517</v>
      </c>
      <c r="P129" s="20">
        <v>1</v>
      </c>
      <c r="Q129" s="9">
        <v>0</v>
      </c>
      <c r="R129" s="19">
        <v>1.45</v>
      </c>
      <c r="S129" s="19">
        <v>0.92</v>
      </c>
    </row>
    <row r="130" spans="1:19" ht="16.8" x14ac:dyDescent="0.3">
      <c r="A130" s="1" t="s">
        <v>27</v>
      </c>
      <c r="B130" s="2">
        <v>2019</v>
      </c>
      <c r="C130" s="16">
        <v>11.502000000000001</v>
      </c>
      <c r="D130" s="17">
        <f t="shared" si="3"/>
        <v>1.0607733632617062</v>
      </c>
      <c r="E130" s="3">
        <v>5.16</v>
      </c>
      <c r="F130" s="3">
        <v>2.7958236749999998</v>
      </c>
      <c r="G130" s="5">
        <v>334365257.9202888</v>
      </c>
      <c r="H130" s="4">
        <f t="shared" si="4"/>
        <v>8.5242211459280064</v>
      </c>
      <c r="I130" s="6">
        <v>2456.665</v>
      </c>
      <c r="J130" s="4">
        <f t="shared" si="6"/>
        <v>3.3903459385025987</v>
      </c>
      <c r="K130" s="18">
        <v>4368073</v>
      </c>
      <c r="L130" s="4">
        <f t="shared" si="7"/>
        <v>6.6402898877626741</v>
      </c>
      <c r="M130" s="12">
        <v>53190.38</v>
      </c>
      <c r="N130" s="4">
        <f t="shared" si="8"/>
        <v>4.725833092996151</v>
      </c>
      <c r="O130" s="5">
        <v>463</v>
      </c>
      <c r="P130" s="20">
        <v>1</v>
      </c>
      <c r="Q130" s="9">
        <v>0</v>
      </c>
      <c r="R130" s="19">
        <v>1.33</v>
      </c>
      <c r="S130" s="19">
        <v>0.88</v>
      </c>
    </row>
    <row r="131" spans="1:19" ht="16.8" x14ac:dyDescent="0.3">
      <c r="A131" s="1" t="s">
        <v>27</v>
      </c>
      <c r="B131" s="20">
        <v>2020</v>
      </c>
      <c r="C131" s="16">
        <v>12.273999999999999</v>
      </c>
      <c r="D131" s="17">
        <f t="shared" ref="D131:D194" si="9">LOG(C131)</f>
        <v>1.0889861189479131</v>
      </c>
      <c r="E131" s="3">
        <v>6.09</v>
      </c>
      <c r="F131" s="3">
        <v>3.2209343669999999</v>
      </c>
      <c r="G131" s="5">
        <v>346615750.1665532</v>
      </c>
      <c r="H131" s="4">
        <f t="shared" ref="H131:H194" si="10">LOG(G131)</f>
        <v>8.5398482931009561</v>
      </c>
      <c r="I131" s="6">
        <v>2627.819</v>
      </c>
      <c r="J131" s="4">
        <f t="shared" si="6"/>
        <v>3.4195954484035971</v>
      </c>
      <c r="K131" s="22">
        <v>5228639</v>
      </c>
      <c r="L131" s="4">
        <f t="shared" si="7"/>
        <v>6.718388657947437</v>
      </c>
      <c r="M131" s="12">
        <v>578666.76899999997</v>
      </c>
      <c r="N131" s="4">
        <f t="shared" si="8"/>
        <v>5.7624285429228808</v>
      </c>
      <c r="O131" s="5">
        <v>443</v>
      </c>
      <c r="P131" s="20">
        <v>1</v>
      </c>
      <c r="Q131" s="9">
        <v>0</v>
      </c>
      <c r="R131" s="19">
        <v>1.33</v>
      </c>
      <c r="S131" s="19">
        <v>0.89</v>
      </c>
    </row>
    <row r="132" spans="1:19" ht="16.8" x14ac:dyDescent="0.3">
      <c r="A132" s="1" t="s">
        <v>27</v>
      </c>
      <c r="B132" s="2">
        <v>2021</v>
      </c>
      <c r="C132" s="16">
        <v>22.462</v>
      </c>
      <c r="D132" s="17">
        <f t="shared" si="9"/>
        <v>1.3514484229091164</v>
      </c>
      <c r="E132" s="3">
        <v>4.9000000000000004</v>
      </c>
      <c r="F132" s="3">
        <v>1.8347155479999999</v>
      </c>
      <c r="G132" s="5">
        <v>366137590.71780437</v>
      </c>
      <c r="H132" s="4">
        <f t="shared" si="10"/>
        <v>8.5636443194393905</v>
      </c>
      <c r="I132" s="6">
        <v>3528.607</v>
      </c>
      <c r="J132" s="4">
        <f t="shared" si="6"/>
        <v>3.5476032913337052</v>
      </c>
      <c r="K132" s="18">
        <v>3995472</v>
      </c>
      <c r="L132" s="4">
        <f t="shared" si="7"/>
        <v>6.601568091506592</v>
      </c>
      <c r="M132" s="12">
        <v>608266</v>
      </c>
      <c r="N132" s="4">
        <f t="shared" si="8"/>
        <v>5.7840935415573469</v>
      </c>
      <c r="O132" s="5">
        <v>46</v>
      </c>
      <c r="P132" s="20">
        <v>1</v>
      </c>
      <c r="Q132" s="9">
        <v>0</v>
      </c>
      <c r="R132" s="19">
        <v>0.14000000000000001</v>
      </c>
      <c r="S132" s="19">
        <v>0.09</v>
      </c>
    </row>
    <row r="133" spans="1:19" ht="16.8" x14ac:dyDescent="0.3">
      <c r="A133" s="1" t="s">
        <v>27</v>
      </c>
      <c r="B133" s="20">
        <v>2022</v>
      </c>
      <c r="C133" s="16">
        <v>17.837</v>
      </c>
      <c r="D133" s="17">
        <f t="shared" si="9"/>
        <v>1.2513218123155883</v>
      </c>
      <c r="E133" s="3">
        <v>4</v>
      </c>
      <c r="F133" s="3">
        <v>3.1565075</v>
      </c>
      <c r="G133" s="5">
        <v>408802379.0682286</v>
      </c>
      <c r="H133" s="4">
        <f t="shared" si="10"/>
        <v>8.6115134145561996</v>
      </c>
      <c r="I133" s="6">
        <v>3265.64</v>
      </c>
      <c r="J133" s="4">
        <f t="shared" si="6"/>
        <v>3.5139683069680525</v>
      </c>
      <c r="K133" s="18">
        <v>5431605</v>
      </c>
      <c r="L133" s="4">
        <f t="shared" si="7"/>
        <v>6.7349281794319005</v>
      </c>
      <c r="M133" s="12">
        <v>155013.87700000001</v>
      </c>
      <c r="N133" s="4">
        <f t="shared" si="8"/>
        <v>5.1903705783945426</v>
      </c>
      <c r="O133" s="5">
        <v>-207</v>
      </c>
      <c r="P133" s="20">
        <v>1</v>
      </c>
      <c r="Q133" s="9">
        <v>0</v>
      </c>
      <c r="R133" s="19">
        <v>-0.74</v>
      </c>
      <c r="S133" s="19">
        <v>-0.5</v>
      </c>
    </row>
    <row r="134" spans="1:19" ht="16.8" x14ac:dyDescent="0.3">
      <c r="A134" s="1" t="s">
        <v>28</v>
      </c>
      <c r="B134" s="20">
        <v>2012</v>
      </c>
      <c r="C134" s="16">
        <v>18.468</v>
      </c>
      <c r="D134" s="17">
        <f t="shared" si="9"/>
        <v>1.2664198658791035</v>
      </c>
      <c r="E134" s="3">
        <v>4.03</v>
      </c>
      <c r="F134" s="3">
        <v>9.0947033959999999</v>
      </c>
      <c r="G134" s="5">
        <v>195590647.20568466</v>
      </c>
      <c r="H134" s="4">
        <f t="shared" si="10"/>
        <v>8.2913480837640794</v>
      </c>
      <c r="I134" s="6">
        <v>1371.8420000000001</v>
      </c>
      <c r="J134" s="4">
        <f t="shared" si="6"/>
        <v>3.1373040949862498</v>
      </c>
      <c r="K134" s="18">
        <v>4394478</v>
      </c>
      <c r="L134" s="4">
        <f t="shared" si="7"/>
        <v>6.6429072946126455</v>
      </c>
      <c r="M134" s="12">
        <v>5897608.1629999997</v>
      </c>
      <c r="N134" s="4">
        <f t="shared" si="8"/>
        <v>6.7706759146552651</v>
      </c>
      <c r="O134" s="5">
        <v>686</v>
      </c>
      <c r="P134" s="20">
        <v>0</v>
      </c>
      <c r="Q134" s="9">
        <v>0</v>
      </c>
      <c r="R134" s="19">
        <v>3.66</v>
      </c>
      <c r="S134" s="19">
        <v>1.23</v>
      </c>
    </row>
    <row r="135" spans="1:19" ht="16.8" x14ac:dyDescent="0.3">
      <c r="A135" s="1" t="s">
        <v>28</v>
      </c>
      <c r="B135" s="2">
        <v>2013</v>
      </c>
      <c r="C135" s="16">
        <v>18.611000000000001</v>
      </c>
      <c r="D135" s="17">
        <f t="shared" si="9"/>
        <v>1.2697697091229223</v>
      </c>
      <c r="E135" s="3">
        <v>6.09</v>
      </c>
      <c r="F135" s="3">
        <v>6.5926747590000003</v>
      </c>
      <c r="G135" s="5">
        <v>213708830.7769472</v>
      </c>
      <c r="H135" s="4">
        <f t="shared" si="10"/>
        <v>8.3298224682495192</v>
      </c>
      <c r="I135" s="6">
        <v>3851</v>
      </c>
      <c r="J135" s="4">
        <f t="shared" si="6"/>
        <v>3.5855735186227311</v>
      </c>
      <c r="K135" s="22">
        <v>2771219</v>
      </c>
      <c r="L135" s="4">
        <f t="shared" si="7"/>
        <v>6.4426708479523178</v>
      </c>
      <c r="M135" s="12">
        <v>4743278.71</v>
      </c>
      <c r="N135" s="4">
        <f t="shared" si="8"/>
        <v>6.6760786440823638</v>
      </c>
      <c r="O135" s="5">
        <v>1349</v>
      </c>
      <c r="P135" s="20">
        <v>1</v>
      </c>
      <c r="Q135" s="9">
        <v>1</v>
      </c>
      <c r="R135" s="19">
        <v>7.49</v>
      </c>
      <c r="S135" s="19">
        <v>2.77</v>
      </c>
    </row>
    <row r="136" spans="1:19" ht="16.8" x14ac:dyDescent="0.3">
      <c r="A136" s="1" t="s">
        <v>28</v>
      </c>
      <c r="B136" s="20">
        <v>2014</v>
      </c>
      <c r="C136" s="16">
        <v>22.100999999999999</v>
      </c>
      <c r="D136" s="17">
        <f t="shared" si="9"/>
        <v>1.3444119245745465</v>
      </c>
      <c r="E136" s="3">
        <v>4.79</v>
      </c>
      <c r="F136" s="3">
        <v>4.0845544660000002</v>
      </c>
      <c r="G136" s="5">
        <v>233451484.77397391</v>
      </c>
      <c r="H136" s="4">
        <f t="shared" si="10"/>
        <v>8.368196640430428</v>
      </c>
      <c r="I136" s="6">
        <v>4613.2619999999997</v>
      </c>
      <c r="J136" s="4">
        <f t="shared" si="6"/>
        <v>3.6640081201021122</v>
      </c>
      <c r="K136" s="18">
        <v>3054331</v>
      </c>
      <c r="L136" s="4">
        <f t="shared" si="7"/>
        <v>6.4849161000694542</v>
      </c>
      <c r="M136" s="12">
        <v>4447438.54</v>
      </c>
      <c r="N136" s="4">
        <f t="shared" si="8"/>
        <v>6.6481099551992937</v>
      </c>
      <c r="O136" s="5">
        <v>1996</v>
      </c>
      <c r="P136" s="20">
        <v>1</v>
      </c>
      <c r="Q136" s="9">
        <v>1</v>
      </c>
      <c r="R136" s="19">
        <v>10.88</v>
      </c>
      <c r="S136" s="19">
        <v>4.46</v>
      </c>
    </row>
    <row r="137" spans="1:19" ht="16.8" x14ac:dyDescent="0.3">
      <c r="A137" s="1" t="s">
        <v>28</v>
      </c>
      <c r="B137" s="2">
        <v>2015</v>
      </c>
      <c r="C137" s="16">
        <v>10.398</v>
      </c>
      <c r="D137" s="17">
        <f t="shared" si="9"/>
        <v>1.0169498130975607</v>
      </c>
      <c r="E137" s="3">
        <v>8.99</v>
      </c>
      <c r="F137" s="3">
        <v>0.63120090500000003</v>
      </c>
      <c r="G137" s="5">
        <v>239258340.82553262</v>
      </c>
      <c r="H137" s="4">
        <f t="shared" si="10"/>
        <v>8.3788670867262578</v>
      </c>
      <c r="I137" s="6">
        <v>1456.114</v>
      </c>
      <c r="J137" s="4">
        <f t="shared" si="6"/>
        <v>3.1631953774720869</v>
      </c>
      <c r="K137" s="18">
        <v>6252447</v>
      </c>
      <c r="L137" s="4">
        <f t="shared" si="7"/>
        <v>6.7960500190422684</v>
      </c>
      <c r="M137" s="12">
        <v>7946189</v>
      </c>
      <c r="N137" s="4">
        <f t="shared" si="8"/>
        <v>6.900158890530685</v>
      </c>
      <c r="O137" s="5">
        <v>636</v>
      </c>
      <c r="P137" s="20">
        <v>0</v>
      </c>
      <c r="Q137" s="9">
        <v>1</v>
      </c>
      <c r="R137" s="19">
        <v>3.29</v>
      </c>
      <c r="S137" s="19">
        <v>1.17</v>
      </c>
    </row>
    <row r="138" spans="1:19" ht="16.8" x14ac:dyDescent="0.3">
      <c r="A138" s="1" t="s">
        <v>28</v>
      </c>
      <c r="B138" s="20">
        <v>2016</v>
      </c>
      <c r="C138" s="16">
        <v>5.3579999999999997</v>
      </c>
      <c r="D138" s="17">
        <f t="shared" si="9"/>
        <v>0.72900270927219002</v>
      </c>
      <c r="E138" s="3">
        <v>5.05</v>
      </c>
      <c r="F138" s="3">
        <v>2.66824817</v>
      </c>
      <c r="G138" s="5">
        <v>257096001.17407528</v>
      </c>
      <c r="H138" s="4">
        <f t="shared" si="10"/>
        <v>8.4100953217555059</v>
      </c>
      <c r="I138" s="6">
        <v>1713.8320000000001</v>
      </c>
      <c r="J138" s="4">
        <f t="shared" si="6"/>
        <v>3.2339682475469802</v>
      </c>
      <c r="K138" s="22">
        <v>6439779</v>
      </c>
      <c r="L138" s="4">
        <f t="shared" si="7"/>
        <v>6.8088709635201559</v>
      </c>
      <c r="M138" s="12">
        <v>3895058.9040000001</v>
      </c>
      <c r="N138" s="4">
        <f t="shared" si="8"/>
        <v>6.5905140297848934</v>
      </c>
      <c r="O138" s="5">
        <v>-1439</v>
      </c>
      <c r="P138" s="20">
        <v>0</v>
      </c>
      <c r="Q138" s="9">
        <v>1</v>
      </c>
      <c r="R138" s="19">
        <v>-6.91</v>
      </c>
      <c r="S138" s="19">
        <v>-2.23</v>
      </c>
    </row>
    <row r="139" spans="1:19" ht="16.8" x14ac:dyDescent="0.3">
      <c r="A139" s="1" t="s">
        <v>28</v>
      </c>
      <c r="B139" s="2">
        <v>2017</v>
      </c>
      <c r="C139" s="16">
        <v>7.351</v>
      </c>
      <c r="D139" s="17">
        <f t="shared" si="9"/>
        <v>0.86634642274960172</v>
      </c>
      <c r="E139" s="3">
        <v>2.59</v>
      </c>
      <c r="F139" s="3">
        <v>3.520256888</v>
      </c>
      <c r="G139" s="5">
        <v>281353626.10724455</v>
      </c>
      <c r="H139" s="4">
        <f t="shared" si="10"/>
        <v>8.4492525167468759</v>
      </c>
      <c r="I139" s="6">
        <v>1982.009</v>
      </c>
      <c r="J139" s="4">
        <f t="shared" si="6"/>
        <v>3.2971056222186119</v>
      </c>
      <c r="K139" s="18">
        <v>4841225</v>
      </c>
      <c r="L139" s="4">
        <f t="shared" si="7"/>
        <v>6.6849552673109311</v>
      </c>
      <c r="M139" s="12">
        <v>1454631.442</v>
      </c>
      <c r="N139" s="4">
        <f t="shared" si="8"/>
        <v>6.1627529706543083</v>
      </c>
      <c r="O139" s="5">
        <v>83</v>
      </c>
      <c r="P139" s="20">
        <v>0</v>
      </c>
      <c r="Q139" s="9">
        <v>1</v>
      </c>
      <c r="R139" s="19">
        <v>0.4</v>
      </c>
      <c r="S139" s="19">
        <v>0.13</v>
      </c>
    </row>
    <row r="140" spans="1:19" ht="16.8" x14ac:dyDescent="0.3">
      <c r="A140" s="1" t="s">
        <v>28</v>
      </c>
      <c r="B140" s="20">
        <v>2018</v>
      </c>
      <c r="C140" s="16">
        <v>4.657</v>
      </c>
      <c r="D140" s="17">
        <f t="shared" si="9"/>
        <v>0.66810623793273127</v>
      </c>
      <c r="E140" s="3">
        <v>3.61</v>
      </c>
      <c r="F140" s="3">
        <v>3.5396280590000004</v>
      </c>
      <c r="G140" s="5">
        <v>310106472.64296824</v>
      </c>
      <c r="H140" s="4">
        <f t="shared" si="10"/>
        <v>8.4915108310673428</v>
      </c>
      <c r="I140" s="6">
        <v>2174.0329999999999</v>
      </c>
      <c r="J140" s="4">
        <f t="shared" si="6"/>
        <v>3.3372661320267847</v>
      </c>
      <c r="K140" s="21">
        <v>5388200</v>
      </c>
      <c r="L140" s="4">
        <f t="shared" si="7"/>
        <v>6.7314437075565792</v>
      </c>
      <c r="M140" s="12">
        <v>2597907.0120000001</v>
      </c>
      <c r="N140" s="4">
        <f t="shared" si="8"/>
        <v>6.4146236021265324</v>
      </c>
      <c r="O140" s="5">
        <v>127</v>
      </c>
      <c r="P140" s="20">
        <v>0</v>
      </c>
      <c r="Q140" s="9">
        <v>1</v>
      </c>
      <c r="R140" s="19">
        <v>0.68</v>
      </c>
      <c r="S140" s="19">
        <v>0.23</v>
      </c>
    </row>
    <row r="141" spans="1:19" ht="16.8" x14ac:dyDescent="0.3">
      <c r="A141" s="1" t="s">
        <v>28</v>
      </c>
      <c r="B141" s="2">
        <v>2019</v>
      </c>
      <c r="C141" s="16">
        <v>4.1449999999999996</v>
      </c>
      <c r="D141" s="17">
        <f t="shared" si="9"/>
        <v>0.61752453488629233</v>
      </c>
      <c r="E141" s="3">
        <v>5.16</v>
      </c>
      <c r="F141" s="3">
        <v>2.7958236749999998</v>
      </c>
      <c r="G141" s="5">
        <v>334365257.9202888</v>
      </c>
      <c r="H141" s="4">
        <f t="shared" si="10"/>
        <v>8.5242211459280064</v>
      </c>
      <c r="I141" s="6">
        <v>2456.665</v>
      </c>
      <c r="J141" s="4">
        <f t="shared" si="6"/>
        <v>3.3903459385025987</v>
      </c>
      <c r="K141" s="18">
        <v>2075444</v>
      </c>
      <c r="L141" s="4">
        <f t="shared" si="7"/>
        <v>6.3171110196614935</v>
      </c>
      <c r="M141" s="12">
        <v>4679597.0820000004</v>
      </c>
      <c r="N141" s="4">
        <f t="shared" si="8"/>
        <v>6.6702084614935604</v>
      </c>
      <c r="O141" s="5">
        <v>233</v>
      </c>
      <c r="P141" s="20">
        <v>0</v>
      </c>
      <c r="Q141" s="9">
        <v>1</v>
      </c>
      <c r="R141" s="19">
        <v>1.29</v>
      </c>
      <c r="S141" s="19">
        <v>0.5</v>
      </c>
    </row>
    <row r="142" spans="1:19" ht="16.8" x14ac:dyDescent="0.3">
      <c r="A142" s="1" t="s">
        <v>28</v>
      </c>
      <c r="B142" s="20">
        <v>2020</v>
      </c>
      <c r="C142" s="16">
        <v>5.2409999999999997</v>
      </c>
      <c r="D142" s="17">
        <f t="shared" si="9"/>
        <v>0.71941415970259337</v>
      </c>
      <c r="E142" s="3">
        <v>6.09</v>
      </c>
      <c r="F142" s="3">
        <v>3.2209343669999999</v>
      </c>
      <c r="G142" s="5">
        <v>346615750.1665532</v>
      </c>
      <c r="H142" s="4">
        <f t="shared" si="10"/>
        <v>8.5398482931009561</v>
      </c>
      <c r="I142" s="6">
        <v>2627.819</v>
      </c>
      <c r="J142" s="4">
        <f t="shared" si="6"/>
        <v>3.4195954484035971</v>
      </c>
      <c r="K142" s="18">
        <v>3176646</v>
      </c>
      <c r="L142" s="4">
        <f t="shared" si="7"/>
        <v>6.5019688204889192</v>
      </c>
      <c r="M142" s="12">
        <v>2335313.7650000001</v>
      </c>
      <c r="N142" s="4">
        <f t="shared" si="8"/>
        <v>6.3683452391863078</v>
      </c>
      <c r="O142" s="5">
        <v>-1354</v>
      </c>
      <c r="P142" s="20">
        <v>0</v>
      </c>
      <c r="Q142" s="9">
        <v>1</v>
      </c>
      <c r="R142" s="19">
        <v>-9.36</v>
      </c>
      <c r="S142" s="19">
        <v>-3.31</v>
      </c>
    </row>
    <row r="143" spans="1:19" ht="16.8" x14ac:dyDescent="0.3">
      <c r="A143" s="1" t="s">
        <v>28</v>
      </c>
      <c r="B143" s="2">
        <v>2021</v>
      </c>
      <c r="C143" s="16">
        <v>13.302</v>
      </c>
      <c r="D143" s="17">
        <f t="shared" si="9"/>
        <v>1.1239169434981318</v>
      </c>
      <c r="E143" s="3">
        <v>4.9000000000000004</v>
      </c>
      <c r="F143" s="3">
        <v>1.8347155479999999</v>
      </c>
      <c r="G143" s="5">
        <v>366137590.71780437</v>
      </c>
      <c r="H143" s="4">
        <f t="shared" si="10"/>
        <v>8.5636443194393905</v>
      </c>
      <c r="I143" s="6">
        <v>3528.607</v>
      </c>
      <c r="J143" s="4">
        <f t="shared" si="6"/>
        <v>3.5476032913337052</v>
      </c>
      <c r="K143" s="18">
        <v>2097418</v>
      </c>
      <c r="L143" s="4">
        <f t="shared" si="7"/>
        <v>6.3216849907910131</v>
      </c>
      <c r="M143" s="12">
        <v>1215681.7209999999</v>
      </c>
      <c r="N143" s="4">
        <f t="shared" si="8"/>
        <v>6.0848198866912506</v>
      </c>
      <c r="O143" s="5">
        <v>219</v>
      </c>
      <c r="P143" s="20">
        <v>0</v>
      </c>
      <c r="Q143" s="9">
        <v>1</v>
      </c>
      <c r="R143" s="19">
        <v>2.76</v>
      </c>
      <c r="S143" s="19">
        <v>0.73</v>
      </c>
    </row>
    <row r="144" spans="1:19" ht="16.8" x14ac:dyDescent="0.3">
      <c r="A144" s="1" t="s">
        <v>28</v>
      </c>
      <c r="B144" s="20">
        <v>2022</v>
      </c>
      <c r="C144" s="16">
        <v>9.1590000000000007</v>
      </c>
      <c r="D144" s="17">
        <f t="shared" si="9"/>
        <v>0.96184805901832426</v>
      </c>
      <c r="E144" s="3">
        <v>4</v>
      </c>
      <c r="F144" s="3">
        <v>3.1565075</v>
      </c>
      <c r="G144" s="5">
        <v>408802379.0682286</v>
      </c>
      <c r="H144" s="4">
        <f t="shared" si="10"/>
        <v>8.6115134145561996</v>
      </c>
      <c r="I144" s="6">
        <v>3265.64</v>
      </c>
      <c r="J144" s="4">
        <f t="shared" si="6"/>
        <v>3.5139683069680525</v>
      </c>
      <c r="K144" s="18">
        <v>5110782</v>
      </c>
      <c r="L144" s="4">
        <f t="shared" si="7"/>
        <v>6.7084873565537055</v>
      </c>
      <c r="M144" s="12">
        <v>544321.34900000005</v>
      </c>
      <c r="N144" s="4">
        <f t="shared" si="8"/>
        <v>5.7358553682525262</v>
      </c>
      <c r="O144" s="5">
        <v>1217</v>
      </c>
      <c r="P144" s="20">
        <v>0</v>
      </c>
      <c r="Q144" s="9">
        <v>1</v>
      </c>
      <c r="R144" s="19">
        <v>22.88</v>
      </c>
      <c r="S144" s="19">
        <v>5.9</v>
      </c>
    </row>
    <row r="145" spans="1:19" ht="16.8" x14ac:dyDescent="0.3">
      <c r="A145" s="1" t="s">
        <v>29</v>
      </c>
      <c r="B145" s="20">
        <v>2012</v>
      </c>
      <c r="C145" s="16">
        <v>13.167</v>
      </c>
      <c r="D145" s="17">
        <f t="shared" si="9"/>
        <v>1.1194868355646357</v>
      </c>
      <c r="E145" s="3">
        <v>4.03</v>
      </c>
      <c r="F145" s="3">
        <v>9.0947033959999999</v>
      </c>
      <c r="G145" s="5">
        <v>195590647.20568466</v>
      </c>
      <c r="H145" s="4">
        <f t="shared" si="10"/>
        <v>8.2913480837640794</v>
      </c>
      <c r="I145" s="6">
        <v>1371.8420000000001</v>
      </c>
      <c r="J145" s="4">
        <f t="shared" si="6"/>
        <v>3.1373040949862498</v>
      </c>
      <c r="K145" s="18">
        <v>4285797</v>
      </c>
      <c r="L145" s="4">
        <f t="shared" si="7"/>
        <v>6.6320315965080221</v>
      </c>
      <c r="M145" s="12">
        <v>222818.458228</v>
      </c>
      <c r="N145" s="4">
        <f t="shared" si="8"/>
        <v>5.3479511648433542</v>
      </c>
      <c r="O145" s="5">
        <v>2607</v>
      </c>
      <c r="P145" s="20">
        <v>1</v>
      </c>
      <c r="Q145" s="9">
        <v>0</v>
      </c>
      <c r="R145" s="19">
        <v>9.0500000000000007</v>
      </c>
      <c r="S145" s="19">
        <v>6.25</v>
      </c>
    </row>
    <row r="146" spans="1:19" ht="16.8" x14ac:dyDescent="0.3">
      <c r="A146" s="1" t="s">
        <v>29</v>
      </c>
      <c r="B146" s="2">
        <v>2013</v>
      </c>
      <c r="C146" s="16">
        <v>16.811</v>
      </c>
      <c r="D146" s="17">
        <f t="shared" si="9"/>
        <v>1.2255935481547995</v>
      </c>
      <c r="E146" s="3">
        <v>6.09</v>
      </c>
      <c r="F146" s="3">
        <v>6.5926747590000003</v>
      </c>
      <c r="G146" s="5">
        <v>213708830.7769472</v>
      </c>
      <c r="H146" s="4">
        <f t="shared" si="10"/>
        <v>8.3298224682495192</v>
      </c>
      <c r="I146" s="6">
        <v>3851</v>
      </c>
      <c r="J146" s="4">
        <f t="shared" si="6"/>
        <v>3.5855735186227311</v>
      </c>
      <c r="K146" s="18">
        <v>4560598</v>
      </c>
      <c r="L146" s="4">
        <f t="shared" si="7"/>
        <v>6.6590217924610489</v>
      </c>
      <c r="M146" s="12">
        <v>179465.40524399999</v>
      </c>
      <c r="N146" s="4">
        <f t="shared" si="8"/>
        <v>5.2539807439470634</v>
      </c>
      <c r="O146" s="5">
        <v>3009</v>
      </c>
      <c r="P146" s="20">
        <v>1</v>
      </c>
      <c r="Q146" s="9">
        <v>0</v>
      </c>
      <c r="R146" s="19">
        <v>11.11</v>
      </c>
      <c r="S146" s="19">
        <v>8.31</v>
      </c>
    </row>
    <row r="147" spans="1:19" ht="16.8" x14ac:dyDescent="0.3">
      <c r="A147" s="1" t="s">
        <v>29</v>
      </c>
      <c r="B147" s="20">
        <v>2014</v>
      </c>
      <c r="C147" s="16">
        <v>20.876000000000001</v>
      </c>
      <c r="D147" s="17">
        <f t="shared" si="9"/>
        <v>1.3196472881834229</v>
      </c>
      <c r="E147" s="3">
        <v>4.79</v>
      </c>
      <c r="F147" s="3">
        <v>4.0845544660000002</v>
      </c>
      <c r="G147" s="5">
        <v>233451484.77397391</v>
      </c>
      <c r="H147" s="4">
        <f t="shared" si="10"/>
        <v>8.368196640430428</v>
      </c>
      <c r="I147" s="6">
        <v>4613.2619999999997</v>
      </c>
      <c r="J147" s="4">
        <f t="shared" si="6"/>
        <v>3.6640081201021122</v>
      </c>
      <c r="K147" s="18">
        <v>4952663</v>
      </c>
      <c r="L147" s="4">
        <f t="shared" si="7"/>
        <v>6.6948387777664919</v>
      </c>
      <c r="M147" s="12">
        <v>68551.321859000003</v>
      </c>
      <c r="N147" s="4">
        <f t="shared" si="8"/>
        <v>4.8360158336045194</v>
      </c>
      <c r="O147" s="5">
        <v>2627</v>
      </c>
      <c r="P147" s="20">
        <v>1</v>
      </c>
      <c r="Q147" s="9">
        <v>1</v>
      </c>
      <c r="R147" s="19">
        <v>9.69</v>
      </c>
      <c r="S147" s="19">
        <v>7.53</v>
      </c>
    </row>
    <row r="148" spans="1:19" ht="16.8" x14ac:dyDescent="0.3">
      <c r="A148" s="1" t="s">
        <v>29</v>
      </c>
      <c r="B148" s="2">
        <v>2015</v>
      </c>
      <c r="C148" s="16">
        <v>17.795000000000002</v>
      </c>
      <c r="D148" s="17">
        <f t="shared" si="9"/>
        <v>1.2502979923398647</v>
      </c>
      <c r="E148" s="3">
        <v>8.99</v>
      </c>
      <c r="F148" s="3">
        <v>0.63120090500000003</v>
      </c>
      <c r="G148" s="5">
        <v>239258340.82553262</v>
      </c>
      <c r="H148" s="4">
        <f t="shared" si="10"/>
        <v>8.3788670867262578</v>
      </c>
      <c r="I148" s="6">
        <v>1456.114</v>
      </c>
      <c r="J148" s="4">
        <f t="shared" si="6"/>
        <v>3.1631953774720869</v>
      </c>
      <c r="K148" s="18">
        <v>3140125</v>
      </c>
      <c r="L148" s="4">
        <f t="shared" si="7"/>
        <v>6.4969469365221695</v>
      </c>
      <c r="M148" s="12">
        <v>226856.37019099999</v>
      </c>
      <c r="N148" s="4">
        <f t="shared" si="8"/>
        <v>5.355750978885073</v>
      </c>
      <c r="O148" s="5">
        <v>22356</v>
      </c>
      <c r="P148" s="20">
        <v>1</v>
      </c>
      <c r="Q148" s="9">
        <v>1</v>
      </c>
      <c r="R148" s="19">
        <v>91.24</v>
      </c>
      <c r="S148" s="19">
        <v>72.19</v>
      </c>
    </row>
    <row r="149" spans="1:19" ht="16.8" x14ac:dyDescent="0.3">
      <c r="A149" s="1" t="s">
        <v>29</v>
      </c>
      <c r="B149" s="20">
        <v>2016</v>
      </c>
      <c r="C149" s="16">
        <v>28.706</v>
      </c>
      <c r="D149" s="17">
        <f t="shared" si="9"/>
        <v>1.457972680516207</v>
      </c>
      <c r="E149" s="3">
        <v>5.05</v>
      </c>
      <c r="F149" s="3">
        <v>2.66824817</v>
      </c>
      <c r="G149" s="5">
        <v>257096001.17407528</v>
      </c>
      <c r="H149" s="4">
        <f t="shared" si="10"/>
        <v>8.4100953217555059</v>
      </c>
      <c r="I149" s="6">
        <v>1713.8320000000001</v>
      </c>
      <c r="J149" s="4">
        <f t="shared" si="6"/>
        <v>3.2339682475469802</v>
      </c>
      <c r="K149" s="18">
        <v>2238775</v>
      </c>
      <c r="L149" s="4">
        <f t="shared" si="7"/>
        <v>6.3500104485729683</v>
      </c>
      <c r="M149" s="12">
        <v>549476.54154400004</v>
      </c>
      <c r="N149" s="4">
        <f t="shared" si="8"/>
        <v>5.7399491560944247</v>
      </c>
      <c r="O149" s="5">
        <v>4997</v>
      </c>
      <c r="P149" s="20">
        <v>1</v>
      </c>
      <c r="Q149" s="9">
        <v>1</v>
      </c>
      <c r="R149" s="19">
        <v>20.309999999999999</v>
      </c>
      <c r="S149" s="19">
        <v>15.09</v>
      </c>
    </row>
    <row r="150" spans="1:19" ht="16.8" x14ac:dyDescent="0.3">
      <c r="A150" s="1" t="s">
        <v>29</v>
      </c>
      <c r="B150" s="2">
        <v>2017</v>
      </c>
      <c r="C150" s="16">
        <v>32.332999999999998</v>
      </c>
      <c r="D150" s="17">
        <f t="shared" si="9"/>
        <v>1.5096460022608036</v>
      </c>
      <c r="E150" s="3">
        <v>2.59</v>
      </c>
      <c r="F150" s="3">
        <v>3.520256888</v>
      </c>
      <c r="G150" s="5">
        <v>281353626.10724455</v>
      </c>
      <c r="H150" s="4">
        <f t="shared" si="10"/>
        <v>8.4492525167468759</v>
      </c>
      <c r="I150" s="6">
        <v>1982.009</v>
      </c>
      <c r="J150" s="4">
        <f t="shared" si="6"/>
        <v>3.2971056222186119</v>
      </c>
      <c r="K150" s="18">
        <v>7016325</v>
      </c>
      <c r="L150" s="4">
        <f t="shared" si="7"/>
        <v>6.8461096975811309</v>
      </c>
      <c r="M150" s="12">
        <v>115632.799442</v>
      </c>
      <c r="N150" s="4">
        <f t="shared" si="8"/>
        <v>5.0630810399341994</v>
      </c>
      <c r="O150" s="5">
        <v>1477</v>
      </c>
      <c r="P150" s="20">
        <v>1</v>
      </c>
      <c r="Q150" s="9">
        <v>1</v>
      </c>
      <c r="R150" s="19">
        <v>4.84</v>
      </c>
      <c r="S150" s="19">
        <v>3.37</v>
      </c>
    </row>
    <row r="151" spans="1:19" ht="16.8" x14ac:dyDescent="0.3">
      <c r="A151" s="1" t="s">
        <v>29</v>
      </c>
      <c r="B151" s="20">
        <v>2018</v>
      </c>
      <c r="C151" s="16">
        <v>19.664999999999999</v>
      </c>
      <c r="D151" s="17">
        <f t="shared" si="9"/>
        <v>1.2936939507457654</v>
      </c>
      <c r="E151" s="3">
        <v>3.61</v>
      </c>
      <c r="F151" s="3">
        <v>3.5396280590000004</v>
      </c>
      <c r="G151" s="5">
        <v>310106472.64296824</v>
      </c>
      <c r="H151" s="4">
        <f t="shared" si="10"/>
        <v>8.4915108310673428</v>
      </c>
      <c r="I151" s="6">
        <v>2174.0329999999999</v>
      </c>
      <c r="J151" s="4">
        <f t="shared" si="6"/>
        <v>3.3372661320267847</v>
      </c>
      <c r="K151" s="18">
        <v>7608568</v>
      </c>
      <c r="L151" s="4">
        <f t="shared" si="7"/>
        <v>6.8813029263870149</v>
      </c>
      <c r="M151" s="12">
        <v>80445.602786000003</v>
      </c>
      <c r="N151" s="4">
        <f t="shared" si="8"/>
        <v>4.9055023102378152</v>
      </c>
      <c r="O151" s="5">
        <v>190</v>
      </c>
      <c r="P151" s="20">
        <v>1</v>
      </c>
      <c r="Q151" s="9">
        <v>1</v>
      </c>
      <c r="R151" s="19">
        <v>0.48</v>
      </c>
      <c r="S151" s="19">
        <v>0.33</v>
      </c>
    </row>
    <row r="152" spans="1:19" ht="16.8" x14ac:dyDescent="0.3">
      <c r="A152" s="1" t="s">
        <v>29</v>
      </c>
      <c r="B152" s="2">
        <v>2019</v>
      </c>
      <c r="C152" s="16">
        <v>17.867999999999999</v>
      </c>
      <c r="D152" s="17">
        <f t="shared" si="9"/>
        <v>1.252075943799801</v>
      </c>
      <c r="E152" s="3">
        <v>5.16</v>
      </c>
      <c r="F152" s="3">
        <v>2.7958236749999998</v>
      </c>
      <c r="G152" s="5">
        <v>334365257.9202888</v>
      </c>
      <c r="H152" s="4">
        <f t="shared" si="10"/>
        <v>8.5242211459280064</v>
      </c>
      <c r="I152" s="6">
        <v>2456.665</v>
      </c>
      <c r="J152" s="4">
        <f t="shared" si="6"/>
        <v>3.3903459385025987</v>
      </c>
      <c r="K152" s="18">
        <v>7209947</v>
      </c>
      <c r="L152" s="4">
        <f t="shared" si="7"/>
        <v>6.8579320722517254</v>
      </c>
      <c r="M152" s="12">
        <v>50260.165512</v>
      </c>
      <c r="N152" s="4">
        <f t="shared" si="8"/>
        <v>4.7012239144362216</v>
      </c>
      <c r="O152" s="5">
        <v>284</v>
      </c>
      <c r="P152" s="20">
        <v>1</v>
      </c>
      <c r="Q152" s="9">
        <v>1</v>
      </c>
      <c r="R152" s="19">
        <v>0.71</v>
      </c>
      <c r="S152" s="19">
        <v>0.48</v>
      </c>
    </row>
    <row r="153" spans="1:19" ht="16.8" x14ac:dyDescent="0.3">
      <c r="A153" s="1" t="s">
        <v>29</v>
      </c>
      <c r="B153" s="20">
        <v>2020</v>
      </c>
      <c r="C153" s="16">
        <v>35.957000000000001</v>
      </c>
      <c r="D153" s="17">
        <f t="shared" si="9"/>
        <v>1.5557834500857761</v>
      </c>
      <c r="E153" s="3">
        <v>6.09</v>
      </c>
      <c r="F153" s="3">
        <v>3.2209343669999999</v>
      </c>
      <c r="G153" s="5">
        <v>346615750.1665532</v>
      </c>
      <c r="H153" s="4">
        <f t="shared" si="10"/>
        <v>8.5398482931009561</v>
      </c>
      <c r="I153" s="6">
        <v>2627.819</v>
      </c>
      <c r="J153" s="4">
        <f t="shared" si="6"/>
        <v>3.4195954484035971</v>
      </c>
      <c r="K153" s="18">
        <v>8323616</v>
      </c>
      <c r="L153" s="4">
        <f t="shared" si="7"/>
        <v>6.9203120363488351</v>
      </c>
      <c r="M153" s="12">
        <v>115347.512387</v>
      </c>
      <c r="N153" s="4">
        <f t="shared" si="8"/>
        <v>5.0620082328558249</v>
      </c>
      <c r="O153" s="5">
        <v>987</v>
      </c>
      <c r="P153" s="20">
        <v>1</v>
      </c>
      <c r="Q153" s="9">
        <v>0</v>
      </c>
      <c r="R153" s="19">
        <v>2.57</v>
      </c>
      <c r="S153" s="19">
        <v>1.68</v>
      </c>
    </row>
    <row r="154" spans="1:19" ht="16.8" x14ac:dyDescent="0.3">
      <c r="A154" s="1" t="s">
        <v>29</v>
      </c>
      <c r="B154" s="2">
        <v>2021</v>
      </c>
      <c r="C154" s="16">
        <v>52.898000000000003</v>
      </c>
      <c r="D154" s="17">
        <f t="shared" si="9"/>
        <v>1.7234392522736797</v>
      </c>
      <c r="E154" s="3">
        <v>4.9000000000000004</v>
      </c>
      <c r="F154" s="3">
        <v>1.8347155479999999</v>
      </c>
      <c r="G154" s="5">
        <v>366137590.71780437</v>
      </c>
      <c r="H154" s="4">
        <f t="shared" si="10"/>
        <v>8.5636443194393905</v>
      </c>
      <c r="I154" s="6">
        <v>3528.607</v>
      </c>
      <c r="J154" s="4">
        <f t="shared" si="6"/>
        <v>3.5476032913337052</v>
      </c>
      <c r="K154" s="18">
        <v>10496864</v>
      </c>
      <c r="L154" s="4">
        <f t="shared" si="7"/>
        <v>7.0210595704108991</v>
      </c>
      <c r="M154" s="12">
        <v>227054.1054</v>
      </c>
      <c r="N154" s="4">
        <f t="shared" si="8"/>
        <v>5.3561293588529155</v>
      </c>
      <c r="O154" s="5">
        <v>2565</v>
      </c>
      <c r="P154" s="20">
        <v>1</v>
      </c>
      <c r="Q154" s="9">
        <v>0</v>
      </c>
      <c r="R154" s="19">
        <v>8.09</v>
      </c>
      <c r="S154" s="19">
        <v>4.47</v>
      </c>
    </row>
    <row r="155" spans="1:19" ht="16.8" x14ac:dyDescent="0.3">
      <c r="A155" s="1" t="s">
        <v>29</v>
      </c>
      <c r="B155" s="20">
        <v>2022</v>
      </c>
      <c r="C155" s="16">
        <v>64.977000000000004</v>
      </c>
      <c r="D155" s="17">
        <f t="shared" si="9"/>
        <v>1.8127596560160057</v>
      </c>
      <c r="E155" s="3">
        <v>4</v>
      </c>
      <c r="F155" s="3">
        <v>3.1565075</v>
      </c>
      <c r="G155" s="5">
        <v>408802379.0682286</v>
      </c>
      <c r="H155" s="4">
        <f t="shared" si="10"/>
        <v>8.6115134145561996</v>
      </c>
      <c r="I155" s="6">
        <v>3265.64</v>
      </c>
      <c r="J155" s="4">
        <f t="shared" ref="J155:J210" si="11">LOG(I155)</f>
        <v>3.5139683069680525</v>
      </c>
      <c r="K155" s="21">
        <v>12535183</v>
      </c>
      <c r="L155" s="4">
        <f t="shared" ref="L155:L210" si="12">LOG(K155)</f>
        <v>7.0981306785662781</v>
      </c>
      <c r="M155" s="12">
        <v>258417.452181</v>
      </c>
      <c r="N155" s="4">
        <f t="shared" ref="N155:N210" si="13">LOG(M155)</f>
        <v>5.4123218403213569</v>
      </c>
      <c r="O155" s="5">
        <v>1430</v>
      </c>
      <c r="P155" s="20">
        <v>1</v>
      </c>
      <c r="Q155" s="9">
        <v>0</v>
      </c>
      <c r="R155" s="19">
        <v>5.2</v>
      </c>
      <c r="S155" s="19">
        <v>2.58</v>
      </c>
    </row>
    <row r="156" spans="1:19" ht="16.8" x14ac:dyDescent="0.3">
      <c r="A156" s="1" t="s">
        <v>30</v>
      </c>
      <c r="B156" s="20">
        <v>2012</v>
      </c>
      <c r="C156" s="16">
        <v>34.018000000000001</v>
      </c>
      <c r="D156" s="17">
        <f t="shared" si="9"/>
        <v>1.531708776810456</v>
      </c>
      <c r="E156" s="3">
        <v>4.03</v>
      </c>
      <c r="F156" s="3">
        <v>9.0947033959999999</v>
      </c>
      <c r="G156" s="5">
        <v>195590647.20568466</v>
      </c>
      <c r="H156" s="4">
        <f t="shared" si="10"/>
        <v>8.2913480837640794</v>
      </c>
      <c r="I156" s="6">
        <v>1371.8420000000001</v>
      </c>
      <c r="J156" s="4">
        <f t="shared" si="11"/>
        <v>3.1373040949862498</v>
      </c>
      <c r="K156" s="18">
        <v>8414122.0981849991</v>
      </c>
      <c r="L156" s="4">
        <f t="shared" si="12"/>
        <v>6.9250088098182792</v>
      </c>
      <c r="M156" s="12">
        <v>97488.528823999994</v>
      </c>
      <c r="N156" s="4">
        <f t="shared" si="13"/>
        <v>4.988953516605954</v>
      </c>
      <c r="O156" s="5">
        <v>1981</v>
      </c>
      <c r="P156" s="20">
        <v>1</v>
      </c>
      <c r="Q156" s="9">
        <v>0</v>
      </c>
      <c r="R156" s="19">
        <v>11.34</v>
      </c>
      <c r="S156" s="19">
        <v>3</v>
      </c>
    </row>
    <row r="157" spans="1:19" ht="16.8" x14ac:dyDescent="0.3">
      <c r="A157" s="1" t="s">
        <v>30</v>
      </c>
      <c r="B157" s="2">
        <v>2013</v>
      </c>
      <c r="C157" s="16">
        <v>29.899000000000001</v>
      </c>
      <c r="D157" s="17">
        <f t="shared" si="9"/>
        <v>1.4756566631824726</v>
      </c>
      <c r="E157" s="3">
        <v>6.09</v>
      </c>
      <c r="F157" s="3">
        <v>6.5926747590000003</v>
      </c>
      <c r="G157" s="5">
        <v>213708830.7769472</v>
      </c>
      <c r="H157" s="4">
        <f t="shared" si="10"/>
        <v>8.3298224682495192</v>
      </c>
      <c r="I157" s="6">
        <v>3851</v>
      </c>
      <c r="J157" s="4">
        <f t="shared" si="11"/>
        <v>3.5855735186227311</v>
      </c>
      <c r="K157" s="18">
        <v>8366330.1202459997</v>
      </c>
      <c r="L157" s="4">
        <f t="shared" si="12"/>
        <v>6.9225349970570207</v>
      </c>
      <c r="M157" s="12">
        <v>76760.319325999997</v>
      </c>
      <c r="N157" s="4">
        <f t="shared" si="13"/>
        <v>4.8851367727496147</v>
      </c>
      <c r="O157" s="5">
        <v>1672</v>
      </c>
      <c r="P157" s="20">
        <v>1</v>
      </c>
      <c r="Q157" s="9">
        <v>0</v>
      </c>
      <c r="R157" s="19">
        <v>9.39</v>
      </c>
      <c r="S157" s="19">
        <v>2.25</v>
      </c>
    </row>
    <row r="158" spans="1:19" ht="16.8" x14ac:dyDescent="0.3">
      <c r="A158" s="1" t="s">
        <v>30</v>
      </c>
      <c r="B158" s="20">
        <v>2014</v>
      </c>
      <c r="C158" s="16">
        <v>26.2</v>
      </c>
      <c r="D158" s="17">
        <f t="shared" si="9"/>
        <v>1.4183012913197455</v>
      </c>
      <c r="E158" s="3">
        <v>4.79</v>
      </c>
      <c r="F158" s="3">
        <v>4.0845544660000002</v>
      </c>
      <c r="G158" s="5">
        <v>233451484.77397391</v>
      </c>
      <c r="H158" s="4">
        <f t="shared" si="10"/>
        <v>8.368196640430428</v>
      </c>
      <c r="I158" s="6">
        <v>4613.2619999999997</v>
      </c>
      <c r="J158" s="4">
        <f t="shared" si="11"/>
        <v>3.6640081201021122</v>
      </c>
      <c r="K158" s="18">
        <v>12664114.24966</v>
      </c>
      <c r="L158" s="4">
        <f t="shared" si="12"/>
        <v>7.1025748198717569</v>
      </c>
      <c r="M158" s="12">
        <v>112563.644244</v>
      </c>
      <c r="N158" s="4">
        <f t="shared" si="13"/>
        <v>5.0513981449227812</v>
      </c>
      <c r="O158" s="5">
        <v>1850</v>
      </c>
      <c r="P158" s="20">
        <v>1</v>
      </c>
      <c r="Q158" s="9">
        <v>0</v>
      </c>
      <c r="R158" s="19">
        <v>10.33</v>
      </c>
      <c r="S158" s="19">
        <v>2.4500000000000002</v>
      </c>
    </row>
    <row r="159" spans="1:19" ht="16.8" x14ac:dyDescent="0.3">
      <c r="A159" s="1" t="s">
        <v>30</v>
      </c>
      <c r="B159" s="2">
        <v>2015</v>
      </c>
      <c r="C159" s="16">
        <v>44.753999999999998</v>
      </c>
      <c r="D159" s="17">
        <f t="shared" si="9"/>
        <v>1.6508318575355734</v>
      </c>
      <c r="E159" s="3">
        <v>8.99</v>
      </c>
      <c r="F159" s="3">
        <v>0.63120090500000003</v>
      </c>
      <c r="G159" s="5">
        <v>239258340.82553262</v>
      </c>
      <c r="H159" s="4">
        <f t="shared" si="10"/>
        <v>8.3788670867262578</v>
      </c>
      <c r="I159" s="6">
        <v>1456.114</v>
      </c>
      <c r="J159" s="4">
        <f t="shared" si="11"/>
        <v>3.1631953774720869</v>
      </c>
      <c r="K159" s="18">
        <v>15096218.437502</v>
      </c>
      <c r="L159" s="4">
        <f t="shared" si="12"/>
        <v>7.1788681713060152</v>
      </c>
      <c r="M159" s="12">
        <v>108040.074269</v>
      </c>
      <c r="N159" s="4">
        <f t="shared" si="13"/>
        <v>5.0335848740585991</v>
      </c>
      <c r="O159" s="5">
        <v>1658</v>
      </c>
      <c r="P159" s="20">
        <v>1</v>
      </c>
      <c r="Q159" s="9">
        <v>0</v>
      </c>
      <c r="R159" s="19">
        <v>8.8699999999999992</v>
      </c>
      <c r="S159" s="19">
        <v>2.13</v>
      </c>
    </row>
    <row r="160" spans="1:19" ht="16.8" x14ac:dyDescent="0.3">
      <c r="A160" s="1" t="s">
        <v>30</v>
      </c>
      <c r="B160" s="20">
        <v>2016</v>
      </c>
      <c r="C160" s="16">
        <v>49.694000000000003</v>
      </c>
      <c r="D160" s="17">
        <f t="shared" si="9"/>
        <v>1.6963039556509614</v>
      </c>
      <c r="E160" s="3">
        <v>5.05</v>
      </c>
      <c r="F160" s="3">
        <v>2.66824817</v>
      </c>
      <c r="G160" s="5">
        <v>257096001.17407528</v>
      </c>
      <c r="H160" s="4">
        <f t="shared" si="10"/>
        <v>8.4100953217555059</v>
      </c>
      <c r="I160" s="6">
        <v>1713.8320000000001</v>
      </c>
      <c r="J160" s="4">
        <f t="shared" si="11"/>
        <v>3.2339682475469802</v>
      </c>
      <c r="K160" s="18">
        <v>18678800.158071999</v>
      </c>
      <c r="L160" s="4">
        <f t="shared" si="12"/>
        <v>7.2713489756700813</v>
      </c>
      <c r="M160" s="12">
        <v>77038.755906999999</v>
      </c>
      <c r="N160" s="4">
        <f t="shared" si="13"/>
        <v>4.8867092607846052</v>
      </c>
      <c r="O160" s="5">
        <v>1651</v>
      </c>
      <c r="P160" s="20">
        <v>1</v>
      </c>
      <c r="Q160" s="9">
        <v>0</v>
      </c>
      <c r="R160" s="19">
        <v>8.36</v>
      </c>
      <c r="S160" s="19">
        <v>1.71</v>
      </c>
    </row>
    <row r="161" spans="1:19" ht="16.8" x14ac:dyDescent="0.3">
      <c r="A161" s="1" t="s">
        <v>30</v>
      </c>
      <c r="B161" s="2">
        <v>2017</v>
      </c>
      <c r="C161" s="16">
        <v>56.569000000000003</v>
      </c>
      <c r="D161" s="17">
        <f t="shared" si="9"/>
        <v>1.7525785015560269</v>
      </c>
      <c r="E161" s="3">
        <v>2.59</v>
      </c>
      <c r="F161" s="3">
        <v>3.520256888</v>
      </c>
      <c r="G161" s="5">
        <v>281353626.10724455</v>
      </c>
      <c r="H161" s="4">
        <f t="shared" si="10"/>
        <v>8.4492525167468759</v>
      </c>
      <c r="I161" s="6">
        <v>1982.009</v>
      </c>
      <c r="J161" s="4">
        <f t="shared" si="11"/>
        <v>3.2971056222186119</v>
      </c>
      <c r="K161" s="18">
        <v>23366992.438232999</v>
      </c>
      <c r="L161" s="4">
        <f t="shared" si="12"/>
        <v>7.3686028180176404</v>
      </c>
      <c r="M161" s="12">
        <v>382043.54556</v>
      </c>
      <c r="N161" s="4">
        <f t="shared" si="13"/>
        <v>5.582112866887103</v>
      </c>
      <c r="O161" s="5">
        <v>2286</v>
      </c>
      <c r="P161" s="20">
        <v>1</v>
      </c>
      <c r="Q161" s="9">
        <v>0</v>
      </c>
      <c r="R161" s="19">
        <v>11.05</v>
      </c>
      <c r="S161" s="19">
        <v>1.89</v>
      </c>
    </row>
    <row r="162" spans="1:19" ht="16.8" x14ac:dyDescent="0.3">
      <c r="A162" s="1" t="s">
        <v>30</v>
      </c>
      <c r="B162" s="20">
        <v>2018</v>
      </c>
      <c r="C162" s="16">
        <v>77.683000000000007</v>
      </c>
      <c r="D162" s="17">
        <f t="shared" si="9"/>
        <v>1.8903259890200268</v>
      </c>
      <c r="E162" s="3">
        <v>3.61</v>
      </c>
      <c r="F162" s="3">
        <v>3.5396280590000004</v>
      </c>
      <c r="G162" s="5">
        <v>310106472.64296824</v>
      </c>
      <c r="H162" s="4">
        <f t="shared" si="10"/>
        <v>8.4915108310673428</v>
      </c>
      <c r="I162" s="6">
        <v>2174.0329999999999</v>
      </c>
      <c r="J162" s="4">
        <f t="shared" si="11"/>
        <v>3.3372661320267847</v>
      </c>
      <c r="K162" s="18">
        <v>28327774.602435</v>
      </c>
      <c r="L162" s="4">
        <f t="shared" si="12"/>
        <v>7.4522124581828368</v>
      </c>
      <c r="M162" s="12">
        <v>320626.90412899997</v>
      </c>
      <c r="N162" s="4">
        <f t="shared" si="13"/>
        <v>5.5059999616379951</v>
      </c>
      <c r="O162" s="5">
        <v>1499</v>
      </c>
      <c r="P162" s="20">
        <v>1</v>
      </c>
      <c r="Q162" s="9">
        <v>0</v>
      </c>
      <c r="R162" s="19">
        <v>7.27</v>
      </c>
      <c r="S162" s="19">
        <v>1.02</v>
      </c>
    </row>
    <row r="163" spans="1:19" ht="16.8" x14ac:dyDescent="0.3">
      <c r="A163" s="1" t="s">
        <v>30</v>
      </c>
      <c r="B163" s="2">
        <v>2019</v>
      </c>
      <c r="C163" s="16">
        <v>61.015000000000001</v>
      </c>
      <c r="D163" s="17">
        <f t="shared" si="9"/>
        <v>1.7854366156076014</v>
      </c>
      <c r="E163" s="3">
        <v>5.16</v>
      </c>
      <c r="F163" s="3">
        <v>2.7958236749999998</v>
      </c>
      <c r="G163" s="5">
        <v>334365257.9202888</v>
      </c>
      <c r="H163" s="4">
        <f t="shared" si="10"/>
        <v>8.5242211459280064</v>
      </c>
      <c r="I163" s="6">
        <v>2456.665</v>
      </c>
      <c r="J163" s="4">
        <f t="shared" si="11"/>
        <v>3.3903459385025987</v>
      </c>
      <c r="K163" s="18">
        <v>32730335.224702001</v>
      </c>
      <c r="L163" s="4">
        <f t="shared" si="12"/>
        <v>7.5149504533829425</v>
      </c>
      <c r="M163" s="12">
        <v>223164.10412</v>
      </c>
      <c r="N163" s="4">
        <f t="shared" si="13"/>
        <v>5.3486243397444229</v>
      </c>
      <c r="O163" s="5">
        <v>1693</v>
      </c>
      <c r="P163" s="20">
        <v>1</v>
      </c>
      <c r="Q163" s="9">
        <v>1</v>
      </c>
      <c r="R163" s="19">
        <v>7.03</v>
      </c>
      <c r="S163" s="19">
        <v>0.98</v>
      </c>
    </row>
    <row r="164" spans="1:19" ht="16.8" x14ac:dyDescent="0.3">
      <c r="A164" s="1" t="s">
        <v>30</v>
      </c>
      <c r="B164" s="20">
        <v>2020</v>
      </c>
      <c r="C164" s="16">
        <v>59.57</v>
      </c>
      <c r="D164" s="17">
        <f t="shared" si="9"/>
        <v>1.7750276000988447</v>
      </c>
      <c r="E164" s="3">
        <v>6.09</v>
      </c>
      <c r="F164" s="3">
        <v>3.2209343669999999</v>
      </c>
      <c r="G164" s="5">
        <v>346615750.1665532</v>
      </c>
      <c r="H164" s="4">
        <f t="shared" si="10"/>
        <v>8.5398482931009561</v>
      </c>
      <c r="I164" s="6">
        <v>2627.819</v>
      </c>
      <c r="J164" s="4">
        <f t="shared" si="11"/>
        <v>3.4195954484035971</v>
      </c>
      <c r="K164" s="18">
        <v>33443676.459146</v>
      </c>
      <c r="L164" s="4">
        <f t="shared" si="12"/>
        <v>7.5243140133290662</v>
      </c>
      <c r="M164" s="12">
        <v>231433.49162300001</v>
      </c>
      <c r="N164" s="4">
        <f t="shared" si="13"/>
        <v>5.3644262075740734</v>
      </c>
      <c r="O164" s="5">
        <v>2152</v>
      </c>
      <c r="P164" s="20">
        <v>1</v>
      </c>
      <c r="Q164" s="9">
        <v>0</v>
      </c>
      <c r="R164" s="19">
        <v>8.1</v>
      </c>
      <c r="S164" s="19">
        <v>1.1599999999999999</v>
      </c>
    </row>
    <row r="165" spans="1:19" ht="16.8" x14ac:dyDescent="0.3">
      <c r="A165" s="1" t="s">
        <v>30</v>
      </c>
      <c r="B165" s="2">
        <v>2021</v>
      </c>
      <c r="C165" s="16">
        <v>51.225000000000001</v>
      </c>
      <c r="D165" s="17">
        <f t="shared" si="9"/>
        <v>1.7094819670732326</v>
      </c>
      <c r="E165" s="3">
        <v>4.9000000000000004</v>
      </c>
      <c r="F165" s="3">
        <v>1.8347155479999999</v>
      </c>
      <c r="G165" s="5">
        <v>366137590.71780437</v>
      </c>
      <c r="H165" s="4">
        <f t="shared" si="10"/>
        <v>8.5636443194393905</v>
      </c>
      <c r="I165" s="6">
        <v>3528.607</v>
      </c>
      <c r="J165" s="4">
        <f t="shared" si="11"/>
        <v>3.5476032913337052</v>
      </c>
      <c r="K165" s="18">
        <v>35892307.150555998</v>
      </c>
      <c r="L165" s="4">
        <f t="shared" si="12"/>
        <v>7.5550013755957384</v>
      </c>
      <c r="M165" s="12">
        <v>237768.61397000001</v>
      </c>
      <c r="N165" s="4">
        <f t="shared" si="13"/>
        <v>5.3761545261479116</v>
      </c>
      <c r="O165" s="5">
        <v>3233</v>
      </c>
      <c r="P165" s="20">
        <v>1</v>
      </c>
      <c r="Q165" s="9">
        <v>0</v>
      </c>
      <c r="R165" s="19">
        <v>11.2</v>
      </c>
      <c r="S165" s="19">
        <v>1.52</v>
      </c>
    </row>
    <row r="166" spans="1:19" ht="16.8" x14ac:dyDescent="0.3">
      <c r="A166" s="1" t="s">
        <v>30</v>
      </c>
      <c r="B166" s="20">
        <v>2022</v>
      </c>
      <c r="C166" s="16">
        <v>45.5</v>
      </c>
      <c r="D166" s="17">
        <f t="shared" si="9"/>
        <v>1.6580113966571124</v>
      </c>
      <c r="E166" s="3">
        <v>4</v>
      </c>
      <c r="F166" s="3">
        <v>3.1565075</v>
      </c>
      <c r="G166" s="5">
        <v>408802379.0682286</v>
      </c>
      <c r="H166" s="4">
        <f t="shared" si="10"/>
        <v>8.6115134145561996</v>
      </c>
      <c r="I166" s="6">
        <v>3265.64</v>
      </c>
      <c r="J166" s="4">
        <f t="shared" si="11"/>
        <v>3.5139683069680525</v>
      </c>
      <c r="K166" s="18">
        <v>39907573.803788997</v>
      </c>
      <c r="L166" s="4">
        <f t="shared" si="12"/>
        <v>7.6010553254874722</v>
      </c>
      <c r="M166" s="12">
        <v>163378.38744300001</v>
      </c>
      <c r="N166" s="4">
        <f t="shared" si="13"/>
        <v>5.2131946052254872</v>
      </c>
      <c r="O166" s="5">
        <v>2089</v>
      </c>
      <c r="P166" s="20">
        <v>1</v>
      </c>
      <c r="Q166" s="9">
        <v>0</v>
      </c>
      <c r="R166" s="19">
        <v>7.51</v>
      </c>
      <c r="S166" s="19">
        <v>0.84</v>
      </c>
    </row>
    <row r="167" spans="1:19" ht="16.8" x14ac:dyDescent="0.3">
      <c r="A167" s="1" t="s">
        <v>31</v>
      </c>
      <c r="B167" s="20">
        <v>2012</v>
      </c>
      <c r="C167" s="16">
        <v>7.4009999999999998</v>
      </c>
      <c r="D167" s="17">
        <f t="shared" si="9"/>
        <v>0.8692904042093984</v>
      </c>
      <c r="E167" s="3">
        <v>4.03</v>
      </c>
      <c r="F167" s="3">
        <v>9.0947033959999999</v>
      </c>
      <c r="G167" s="5">
        <v>195590647.20568466</v>
      </c>
      <c r="H167" s="4">
        <f t="shared" si="10"/>
        <v>8.2913480837640794</v>
      </c>
      <c r="I167" s="6">
        <v>1371.8420000000001</v>
      </c>
      <c r="J167" s="4">
        <f t="shared" si="11"/>
        <v>3.1373040949862498</v>
      </c>
      <c r="K167" s="18">
        <v>1960829</v>
      </c>
      <c r="L167" s="4">
        <f t="shared" si="12"/>
        <v>6.292439721360525</v>
      </c>
      <c r="M167" s="12">
        <v>89831.897138999993</v>
      </c>
      <c r="N167" s="4">
        <f t="shared" si="13"/>
        <v>4.9534305715423175</v>
      </c>
      <c r="O167" s="5">
        <v>2886</v>
      </c>
      <c r="P167" s="20">
        <v>1</v>
      </c>
      <c r="Q167" s="9">
        <v>0</v>
      </c>
      <c r="R167" s="19">
        <v>21.21</v>
      </c>
      <c r="S167" s="19">
        <v>14.93</v>
      </c>
    </row>
    <row r="168" spans="1:19" ht="16.8" x14ac:dyDescent="0.3">
      <c r="A168" s="1" t="s">
        <v>31</v>
      </c>
      <c r="B168" s="2">
        <v>2013</v>
      </c>
      <c r="C168" s="16">
        <v>6.3449999999999998</v>
      </c>
      <c r="D168" s="17">
        <f t="shared" si="9"/>
        <v>0.80243162643072352</v>
      </c>
      <c r="E168" s="3">
        <v>6.09</v>
      </c>
      <c r="F168" s="3">
        <v>6.5926747590000003</v>
      </c>
      <c r="G168" s="5">
        <v>213708830.7769472</v>
      </c>
      <c r="H168" s="4">
        <f t="shared" si="10"/>
        <v>8.3298224682495192</v>
      </c>
      <c r="I168" s="6">
        <v>3851</v>
      </c>
      <c r="J168" s="4">
        <f t="shared" si="11"/>
        <v>3.5855735186227311</v>
      </c>
      <c r="K168" s="18">
        <v>2220040</v>
      </c>
      <c r="L168" s="4">
        <f t="shared" si="12"/>
        <v>6.346360799505943</v>
      </c>
      <c r="M168" s="12">
        <v>79836.990290000002</v>
      </c>
      <c r="N168" s="4">
        <f t="shared" si="13"/>
        <v>4.9022041564721697</v>
      </c>
      <c r="O168" s="5">
        <v>1760</v>
      </c>
      <c r="P168" s="20">
        <v>1</v>
      </c>
      <c r="Q168" s="9">
        <v>0</v>
      </c>
      <c r="R168" s="19">
        <v>13.52</v>
      </c>
      <c r="S168" s="19">
        <v>8.1199999999999992</v>
      </c>
    </row>
    <row r="169" spans="1:19" ht="16.8" x14ac:dyDescent="0.3">
      <c r="A169" s="1" t="s">
        <v>31</v>
      </c>
      <c r="B169" s="20">
        <v>2014</v>
      </c>
      <c r="C169" s="16">
        <v>7.109</v>
      </c>
      <c r="D169" s="17">
        <f t="shared" si="9"/>
        <v>0.85180851422823745</v>
      </c>
      <c r="E169" s="3">
        <v>4.79</v>
      </c>
      <c r="F169" s="3">
        <v>4.0845544660000002</v>
      </c>
      <c r="G169" s="5">
        <v>233451484.77397391</v>
      </c>
      <c r="H169" s="4">
        <f t="shared" si="10"/>
        <v>8.368196640430428</v>
      </c>
      <c r="I169" s="6">
        <v>4613.2619999999997</v>
      </c>
      <c r="J169" s="4">
        <f t="shared" si="11"/>
        <v>3.6640081201021122</v>
      </c>
      <c r="K169" s="18">
        <v>2066900</v>
      </c>
      <c r="L169" s="4">
        <f t="shared" si="12"/>
        <v>6.3153194652587503</v>
      </c>
      <c r="M169" s="14">
        <v>207041.728947</v>
      </c>
      <c r="N169" s="4">
        <f t="shared" si="13"/>
        <v>5.3160578856743017</v>
      </c>
      <c r="O169" s="5">
        <v>1312</v>
      </c>
      <c r="P169" s="20">
        <v>1</v>
      </c>
      <c r="Q169" s="9">
        <v>0</v>
      </c>
      <c r="R169" s="19">
        <v>10.01</v>
      </c>
      <c r="S169" s="19">
        <v>5.75</v>
      </c>
    </row>
    <row r="170" spans="1:19" ht="16.8" x14ac:dyDescent="0.3">
      <c r="A170" s="1" t="s">
        <v>31</v>
      </c>
      <c r="B170" s="2">
        <v>2015</v>
      </c>
      <c r="C170" s="16">
        <v>13.757999999999999</v>
      </c>
      <c r="D170" s="17">
        <f t="shared" si="9"/>
        <v>1.1385553051135824</v>
      </c>
      <c r="E170" s="3">
        <v>8.99</v>
      </c>
      <c r="F170" s="3">
        <v>0.63120090500000003</v>
      </c>
      <c r="G170" s="5">
        <v>239258340.82553262</v>
      </c>
      <c r="H170" s="4">
        <f t="shared" si="10"/>
        <v>8.3788670867262578</v>
      </c>
      <c r="I170" s="6">
        <v>1456.114</v>
      </c>
      <c r="J170" s="4">
        <f t="shared" si="11"/>
        <v>3.1631953774720869</v>
      </c>
      <c r="K170" s="18">
        <v>4027233</v>
      </c>
      <c r="L170" s="4">
        <f t="shared" si="12"/>
        <v>6.6050067569198179</v>
      </c>
      <c r="M170" s="14">
        <v>429473.44100699999</v>
      </c>
      <c r="N170" s="4">
        <f t="shared" si="13"/>
        <v>5.6329363118675015</v>
      </c>
      <c r="O170" s="5">
        <v>1968</v>
      </c>
      <c r="P170" s="20">
        <v>1</v>
      </c>
      <c r="Q170" s="9">
        <v>0</v>
      </c>
      <c r="R170" s="19">
        <v>12.71</v>
      </c>
      <c r="S170" s="19">
        <v>5.8</v>
      </c>
    </row>
    <row r="171" spans="1:19" ht="16.8" x14ac:dyDescent="0.3">
      <c r="A171" s="1" t="s">
        <v>31</v>
      </c>
      <c r="B171" s="20">
        <v>2016</v>
      </c>
      <c r="C171" s="16">
        <v>18.189</v>
      </c>
      <c r="D171" s="17">
        <f t="shared" si="9"/>
        <v>1.2598088229546289</v>
      </c>
      <c r="E171" s="3">
        <v>5.05</v>
      </c>
      <c r="F171" s="3">
        <v>2.66824817</v>
      </c>
      <c r="G171" s="5">
        <v>257096001.17407528</v>
      </c>
      <c r="H171" s="4">
        <f t="shared" si="10"/>
        <v>8.4100953217555059</v>
      </c>
      <c r="I171" s="6">
        <v>1713.8320000000001</v>
      </c>
      <c r="J171" s="4">
        <f t="shared" si="11"/>
        <v>3.2339682475469802</v>
      </c>
      <c r="K171" s="18">
        <v>4498383</v>
      </c>
      <c r="L171" s="4">
        <f t="shared" si="12"/>
        <v>6.6530564292466465</v>
      </c>
      <c r="M171" s="14">
        <v>183499.70817999999</v>
      </c>
      <c r="N171" s="4">
        <f t="shared" si="13"/>
        <v>5.2636353779291625</v>
      </c>
      <c r="O171" s="5">
        <v>1746</v>
      </c>
      <c r="P171" s="20">
        <v>1</v>
      </c>
      <c r="Q171" s="9">
        <v>1</v>
      </c>
      <c r="R171" s="19">
        <v>11.68</v>
      </c>
      <c r="S171" s="19">
        <v>4.6399999999999997</v>
      </c>
    </row>
    <row r="172" spans="1:19" ht="16.8" x14ac:dyDescent="0.3">
      <c r="A172" s="1" t="s">
        <v>31</v>
      </c>
      <c r="B172" s="2">
        <v>2017</v>
      </c>
      <c r="C172" s="16">
        <v>15.426</v>
      </c>
      <c r="D172" s="17">
        <f t="shared" si="9"/>
        <v>1.1882533270265043</v>
      </c>
      <c r="E172" s="3">
        <v>2.59</v>
      </c>
      <c r="F172" s="3">
        <v>3.520256888</v>
      </c>
      <c r="G172" s="5">
        <v>281353626.10724455</v>
      </c>
      <c r="H172" s="4">
        <f t="shared" si="10"/>
        <v>8.4492525167468759</v>
      </c>
      <c r="I172" s="6">
        <v>1982.009</v>
      </c>
      <c r="J172" s="4">
        <f t="shared" si="11"/>
        <v>3.2971056222186119</v>
      </c>
      <c r="K172" s="18">
        <v>10284696</v>
      </c>
      <c r="L172" s="4">
        <f t="shared" si="12"/>
        <v>7.012191459134903</v>
      </c>
      <c r="M172" s="14">
        <v>479534.685</v>
      </c>
      <c r="N172" s="4">
        <f t="shared" si="13"/>
        <v>5.6808200253947243</v>
      </c>
      <c r="O172" s="5">
        <v>1709</v>
      </c>
      <c r="P172" s="20">
        <v>1</v>
      </c>
      <c r="Q172" s="9">
        <v>0</v>
      </c>
      <c r="R172" s="19">
        <v>11.83</v>
      </c>
      <c r="S172" s="19">
        <v>4.2699999999999996</v>
      </c>
    </row>
    <row r="173" spans="1:19" ht="16.8" x14ac:dyDescent="0.3">
      <c r="A173" s="1" t="s">
        <v>31</v>
      </c>
      <c r="B173" s="20">
        <v>2018</v>
      </c>
      <c r="C173" s="16">
        <v>15.153</v>
      </c>
      <c r="D173" s="17">
        <f t="shared" si="9"/>
        <v>1.180498623232012</v>
      </c>
      <c r="E173" s="3">
        <v>3.61</v>
      </c>
      <c r="F173" s="3">
        <v>3.5396280590000004</v>
      </c>
      <c r="G173" s="5">
        <v>310106472.64296824</v>
      </c>
      <c r="H173" s="4">
        <f t="shared" si="10"/>
        <v>8.4915108310673428</v>
      </c>
      <c r="I173" s="6">
        <v>2174.0329999999999</v>
      </c>
      <c r="J173" s="4">
        <f t="shared" si="11"/>
        <v>3.3372661320267847</v>
      </c>
      <c r="K173" s="18">
        <v>10856612</v>
      </c>
      <c r="L173" s="4">
        <f t="shared" si="12"/>
        <v>7.0356943170329798</v>
      </c>
      <c r="M173" s="14">
        <v>1303763.12796</v>
      </c>
      <c r="N173" s="4">
        <f t="shared" si="13"/>
        <v>6.1151986944906813</v>
      </c>
      <c r="O173" s="5">
        <v>519</v>
      </c>
      <c r="P173" s="20">
        <v>1</v>
      </c>
      <c r="Q173" s="9">
        <v>1</v>
      </c>
      <c r="R173" s="19">
        <v>4.51</v>
      </c>
      <c r="S173" s="19">
        <v>1.56</v>
      </c>
    </row>
    <row r="174" spans="1:19" ht="16.8" x14ac:dyDescent="0.3">
      <c r="A174" s="1" t="s">
        <v>31</v>
      </c>
      <c r="B174" s="2">
        <v>2019</v>
      </c>
      <c r="C174" s="16">
        <v>15.214</v>
      </c>
      <c r="D174" s="17">
        <f t="shared" si="9"/>
        <v>1.1822434119190004</v>
      </c>
      <c r="E174" s="3">
        <v>5.16</v>
      </c>
      <c r="F174" s="3">
        <v>2.7958236749999998</v>
      </c>
      <c r="G174" s="5">
        <v>334365257.9202888</v>
      </c>
      <c r="H174" s="4">
        <f t="shared" si="10"/>
        <v>8.5242211459280064</v>
      </c>
      <c r="I174" s="6">
        <v>2456.665</v>
      </c>
      <c r="J174" s="4">
        <f t="shared" si="11"/>
        <v>3.3903459385025987</v>
      </c>
      <c r="K174" s="18">
        <v>12888683</v>
      </c>
      <c r="L174" s="4">
        <f t="shared" si="12"/>
        <v>7.1102085422522263</v>
      </c>
      <c r="M174" s="14">
        <v>302947.407068</v>
      </c>
      <c r="N174" s="4">
        <f t="shared" si="13"/>
        <v>5.4813672397146131</v>
      </c>
      <c r="O174" s="5">
        <v>599</v>
      </c>
      <c r="P174" s="20">
        <v>1</v>
      </c>
      <c r="Q174" s="9">
        <v>0</v>
      </c>
      <c r="R174" s="19">
        <v>5.41</v>
      </c>
      <c r="S174" s="19">
        <v>2.1</v>
      </c>
    </row>
    <row r="175" spans="1:19" ht="16.8" x14ac:dyDescent="0.3">
      <c r="A175" s="1" t="s">
        <v>31</v>
      </c>
      <c r="B175" s="20">
        <v>2020</v>
      </c>
      <c r="C175" s="16">
        <v>17.77</v>
      </c>
      <c r="D175" s="17">
        <f t="shared" si="9"/>
        <v>1.2496874278053016</v>
      </c>
      <c r="E175" s="3">
        <v>6.09</v>
      </c>
      <c r="F175" s="3">
        <v>3.2209343669999999</v>
      </c>
      <c r="G175" s="5">
        <v>346615750.1665532</v>
      </c>
      <c r="H175" s="4">
        <f t="shared" si="10"/>
        <v>8.5398482931009561</v>
      </c>
      <c r="I175" s="6">
        <v>2627.819</v>
      </c>
      <c r="J175" s="4">
        <f t="shared" si="11"/>
        <v>3.4195954484035971</v>
      </c>
      <c r="K175" s="18">
        <v>14924868</v>
      </c>
      <c r="L175" s="4">
        <f t="shared" si="12"/>
        <v>7.1739104987879987</v>
      </c>
      <c r="M175" s="14">
        <v>347932.04295099998</v>
      </c>
      <c r="N175" s="4">
        <f t="shared" si="13"/>
        <v>5.5414944271263762</v>
      </c>
      <c r="O175" s="5">
        <v>1010</v>
      </c>
      <c r="P175" s="20">
        <v>1</v>
      </c>
      <c r="Q175" s="9">
        <v>1</v>
      </c>
      <c r="R175" s="19">
        <v>8.1199999999999992</v>
      </c>
      <c r="S175" s="19">
        <v>3.36</v>
      </c>
    </row>
    <row r="176" spans="1:19" ht="16.8" x14ac:dyDescent="0.3">
      <c r="A176" s="1" t="s">
        <v>31</v>
      </c>
      <c r="B176" s="2">
        <v>2021</v>
      </c>
      <c r="C176" s="16">
        <v>21.940999999999999</v>
      </c>
      <c r="D176" s="17">
        <f t="shared" si="9"/>
        <v>1.3412564174312576</v>
      </c>
      <c r="E176" s="3">
        <v>4.9000000000000004</v>
      </c>
      <c r="F176" s="3">
        <v>1.8347155479999999</v>
      </c>
      <c r="G176" s="5">
        <v>366137590.71780437</v>
      </c>
      <c r="H176" s="4">
        <f t="shared" si="10"/>
        <v>8.5636443194393905</v>
      </c>
      <c r="I176" s="6">
        <v>3528.607</v>
      </c>
      <c r="J176" s="4">
        <f t="shared" si="11"/>
        <v>3.5476032913337052</v>
      </c>
      <c r="K176" s="18">
        <v>18318942</v>
      </c>
      <c r="L176" s="4">
        <f t="shared" si="12"/>
        <v>7.2629003876271261</v>
      </c>
      <c r="M176" s="14">
        <v>142288.85748899999</v>
      </c>
      <c r="N176" s="4">
        <f t="shared" si="13"/>
        <v>5.1531708922099986</v>
      </c>
      <c r="O176" s="5">
        <v>1344</v>
      </c>
      <c r="P176" s="20">
        <v>1</v>
      </c>
      <c r="Q176" s="9">
        <v>1</v>
      </c>
      <c r="R176" s="19">
        <v>9.77</v>
      </c>
      <c r="S176" s="19">
        <v>3.63</v>
      </c>
    </row>
    <row r="177" spans="1:19" ht="16.8" x14ac:dyDescent="0.3">
      <c r="A177" s="1" t="s">
        <v>31</v>
      </c>
      <c r="B177" s="20">
        <v>2022</v>
      </c>
      <c r="C177" s="16">
        <v>13.166</v>
      </c>
      <c r="D177" s="17">
        <f t="shared" si="9"/>
        <v>1.1194538507560601</v>
      </c>
      <c r="E177" s="3">
        <v>4</v>
      </c>
      <c r="F177" s="3">
        <v>3.1565075</v>
      </c>
      <c r="G177" s="5">
        <v>408802379.0682286</v>
      </c>
      <c r="H177" s="4">
        <f t="shared" si="10"/>
        <v>8.6115134145561996</v>
      </c>
      <c r="I177" s="6">
        <v>3265.64</v>
      </c>
      <c r="J177" s="4">
        <f t="shared" si="11"/>
        <v>3.5139683069680525</v>
      </c>
      <c r="K177" s="18">
        <v>24746742</v>
      </c>
      <c r="L177" s="4">
        <f t="shared" si="12"/>
        <v>7.3935180305601564</v>
      </c>
      <c r="M177" s="14">
        <v>261995.30719200001</v>
      </c>
      <c r="N177" s="4">
        <f t="shared" si="13"/>
        <v>5.4182935123927543</v>
      </c>
      <c r="O177" s="5">
        <v>715</v>
      </c>
      <c r="P177" s="20">
        <v>1</v>
      </c>
      <c r="Q177" s="9">
        <v>0</v>
      </c>
      <c r="R177" s="19">
        <v>5.4</v>
      </c>
      <c r="S177" s="19">
        <v>1.89</v>
      </c>
    </row>
    <row r="178" spans="1:19" ht="16.8" x14ac:dyDescent="0.3">
      <c r="A178" s="1" t="s">
        <v>32</v>
      </c>
      <c r="B178" s="20">
        <v>2012</v>
      </c>
      <c r="C178" s="16">
        <v>12.601000000000001</v>
      </c>
      <c r="D178" s="17">
        <f t="shared" si="9"/>
        <v>1.100405011565889</v>
      </c>
      <c r="E178" s="3">
        <v>4.03</v>
      </c>
      <c r="F178" s="3">
        <v>9.0947033959999999</v>
      </c>
      <c r="G178" s="5">
        <v>195590647.20568466</v>
      </c>
      <c r="H178" s="4">
        <f t="shared" si="10"/>
        <v>8.2913480837640794</v>
      </c>
      <c r="I178" s="6">
        <v>1371.8420000000001</v>
      </c>
      <c r="J178" s="4">
        <f t="shared" si="11"/>
        <v>3.1373040949862498</v>
      </c>
      <c r="K178" s="18">
        <v>13321852</v>
      </c>
      <c r="L178" s="4">
        <f t="shared" si="12"/>
        <v>7.1245646045242363</v>
      </c>
      <c r="M178" s="12">
        <v>372106.40436500002</v>
      </c>
      <c r="N178" s="4">
        <f t="shared" si="13"/>
        <v>5.5706671447768263</v>
      </c>
      <c r="O178" s="5">
        <v>7990</v>
      </c>
      <c r="P178" s="20">
        <v>1</v>
      </c>
      <c r="Q178" s="9">
        <v>0</v>
      </c>
      <c r="R178" s="19">
        <v>35.11</v>
      </c>
      <c r="S178" s="19">
        <v>30.36</v>
      </c>
    </row>
    <row r="179" spans="1:19" ht="16.8" x14ac:dyDescent="0.3">
      <c r="A179" s="1" t="s">
        <v>32</v>
      </c>
      <c r="B179" s="2">
        <v>2013</v>
      </c>
      <c r="C179" s="16">
        <v>15.196</v>
      </c>
      <c r="D179" s="17">
        <f t="shared" si="9"/>
        <v>1.1817292848826828</v>
      </c>
      <c r="E179" s="3">
        <v>6.09</v>
      </c>
      <c r="F179" s="3">
        <v>6.5926747590000003</v>
      </c>
      <c r="G179" s="5">
        <v>213708830.7769472</v>
      </c>
      <c r="H179" s="4">
        <f t="shared" si="10"/>
        <v>8.3298224682495192</v>
      </c>
      <c r="I179" s="6">
        <v>3851</v>
      </c>
      <c r="J179" s="4">
        <f t="shared" si="11"/>
        <v>3.5855735186227311</v>
      </c>
      <c r="K179" s="18">
        <v>10363418</v>
      </c>
      <c r="L179" s="4">
        <f t="shared" si="12"/>
        <v>7.0155030154209177</v>
      </c>
      <c r="M179" s="12">
        <v>267562.84043899999</v>
      </c>
      <c r="N179" s="4">
        <f t="shared" si="13"/>
        <v>5.4274257977621172</v>
      </c>
      <c r="O179" s="5">
        <v>5644</v>
      </c>
      <c r="P179" s="20">
        <v>1</v>
      </c>
      <c r="Q179" s="9">
        <v>0</v>
      </c>
      <c r="R179" s="19">
        <v>23.41</v>
      </c>
      <c r="S179" s="19">
        <v>20.04</v>
      </c>
    </row>
    <row r="180" spans="1:19" ht="16.8" x14ac:dyDescent="0.3">
      <c r="A180" s="1" t="s">
        <v>32</v>
      </c>
      <c r="B180" s="20">
        <v>2014</v>
      </c>
      <c r="C180" s="16">
        <v>12.68</v>
      </c>
      <c r="D180" s="17">
        <f t="shared" si="9"/>
        <v>1.1031192535457139</v>
      </c>
      <c r="E180" s="3">
        <v>4.79</v>
      </c>
      <c r="F180" s="3">
        <v>4.0845544660000002</v>
      </c>
      <c r="G180" s="5">
        <v>233451484.77397391</v>
      </c>
      <c r="H180" s="4">
        <f t="shared" si="10"/>
        <v>8.368196640430428</v>
      </c>
      <c r="I180" s="6">
        <v>4613.2619999999997</v>
      </c>
      <c r="J180" s="4">
        <f t="shared" si="11"/>
        <v>3.6640081201021122</v>
      </c>
      <c r="K180" s="18">
        <v>9548850</v>
      </c>
      <c r="L180" s="4">
        <f t="shared" si="12"/>
        <v>6.9799510711934305</v>
      </c>
      <c r="M180" s="12">
        <v>196031.05351900001</v>
      </c>
      <c r="N180" s="4">
        <f t="shared" si="13"/>
        <v>5.2923248739263364</v>
      </c>
      <c r="O180" s="5">
        <v>2885</v>
      </c>
      <c r="P180" s="20">
        <v>1</v>
      </c>
      <c r="Q180" s="9">
        <v>0</v>
      </c>
      <c r="R180" s="19">
        <v>12.09</v>
      </c>
      <c r="S180" s="19">
        <v>10.48</v>
      </c>
    </row>
    <row r="181" spans="1:19" ht="16.8" x14ac:dyDescent="0.3">
      <c r="A181" s="1" t="s">
        <v>32</v>
      </c>
      <c r="B181" s="2">
        <v>2015</v>
      </c>
      <c r="C181" s="16">
        <v>13.683999999999999</v>
      </c>
      <c r="D181" s="17">
        <f t="shared" si="9"/>
        <v>1.1362130655130249</v>
      </c>
      <c r="E181" s="3">
        <v>8.99</v>
      </c>
      <c r="F181" s="3">
        <v>0.63120090500000003</v>
      </c>
      <c r="G181" s="5">
        <v>239258340.82553262</v>
      </c>
      <c r="H181" s="4">
        <f t="shared" si="10"/>
        <v>8.3788670867262578</v>
      </c>
      <c r="I181" s="6">
        <v>1456.114</v>
      </c>
      <c r="J181" s="4">
        <f t="shared" si="11"/>
        <v>3.1631953774720869</v>
      </c>
      <c r="K181" s="18">
        <v>9764947</v>
      </c>
      <c r="L181" s="4">
        <f t="shared" si="12"/>
        <v>6.9896698904636061</v>
      </c>
      <c r="M181" s="12">
        <v>870500.43564799998</v>
      </c>
      <c r="N181" s="4">
        <f t="shared" si="13"/>
        <v>5.9397689927990998</v>
      </c>
      <c r="O181" s="5">
        <v>3917</v>
      </c>
      <c r="P181" s="20">
        <v>1</v>
      </c>
      <c r="Q181" s="9">
        <v>0</v>
      </c>
      <c r="R181" s="19">
        <v>17.170000000000002</v>
      </c>
      <c r="S181" s="19">
        <v>14.15</v>
      </c>
    </row>
    <row r="182" spans="1:19" ht="16.8" x14ac:dyDescent="0.3">
      <c r="A182" s="1" t="s">
        <v>32</v>
      </c>
      <c r="B182" s="20">
        <v>2016</v>
      </c>
      <c r="C182" s="16">
        <v>11.911</v>
      </c>
      <c r="D182" s="17">
        <f t="shared" si="9"/>
        <v>1.0759482246440351</v>
      </c>
      <c r="E182" s="3">
        <v>5.05</v>
      </c>
      <c r="F182" s="3">
        <v>2.66824817</v>
      </c>
      <c r="G182" s="5">
        <v>257096001.17407528</v>
      </c>
      <c r="H182" s="4">
        <f t="shared" si="10"/>
        <v>8.4100953217555059</v>
      </c>
      <c r="I182" s="6">
        <v>1713.8320000000001</v>
      </c>
      <c r="J182" s="4">
        <f t="shared" si="11"/>
        <v>3.2339682475469802</v>
      </c>
      <c r="K182" s="18">
        <v>7924787</v>
      </c>
      <c r="L182" s="4">
        <f t="shared" si="12"/>
        <v>6.8989875982124653</v>
      </c>
      <c r="M182" s="12">
        <v>1297005.5180780001</v>
      </c>
      <c r="N182" s="4">
        <f t="shared" si="13"/>
        <v>6.112941823783177</v>
      </c>
      <c r="O182" s="5">
        <v>2932</v>
      </c>
      <c r="P182" s="20">
        <v>1</v>
      </c>
      <c r="Q182" s="9">
        <v>0</v>
      </c>
      <c r="R182" s="19">
        <v>13.6</v>
      </c>
      <c r="S182" s="19">
        <v>11.14</v>
      </c>
    </row>
    <row r="183" spans="1:19" ht="16.8" x14ac:dyDescent="0.3">
      <c r="A183" s="1" t="s">
        <v>32</v>
      </c>
      <c r="B183" s="2">
        <v>2017</v>
      </c>
      <c r="C183" s="16">
        <v>12.503</v>
      </c>
      <c r="D183" s="17">
        <f t="shared" si="9"/>
        <v>1.0970142311780331</v>
      </c>
      <c r="E183" s="3">
        <v>2.59</v>
      </c>
      <c r="F183" s="3">
        <v>3.520256888</v>
      </c>
      <c r="G183" s="5">
        <v>281353626.10724455</v>
      </c>
      <c r="H183" s="4">
        <f t="shared" si="10"/>
        <v>8.4492525167468759</v>
      </c>
      <c r="I183" s="6">
        <v>1982.009</v>
      </c>
      <c r="J183" s="4">
        <f t="shared" si="11"/>
        <v>3.2971056222186119</v>
      </c>
      <c r="K183" s="18">
        <v>7995829</v>
      </c>
      <c r="L183" s="4">
        <f t="shared" si="12"/>
        <v>6.9028634976583714</v>
      </c>
      <c r="M183" s="12">
        <v>1387185.031855</v>
      </c>
      <c r="N183" s="4">
        <f t="shared" si="13"/>
        <v>6.1421343939889335</v>
      </c>
      <c r="O183" s="5">
        <v>1775</v>
      </c>
      <c r="P183" s="20">
        <v>1</v>
      </c>
      <c r="Q183" s="9">
        <v>1</v>
      </c>
      <c r="R183" s="19">
        <v>8.5399999999999991</v>
      </c>
      <c r="S183" s="19">
        <v>7</v>
      </c>
    </row>
    <row r="184" spans="1:19" ht="16.8" x14ac:dyDescent="0.3">
      <c r="A184" s="1" t="s">
        <v>32</v>
      </c>
      <c r="B184" s="20">
        <v>2018</v>
      </c>
      <c r="C184" s="16">
        <v>13.273999999999999</v>
      </c>
      <c r="D184" s="17">
        <f t="shared" si="9"/>
        <v>1.123001813306024</v>
      </c>
      <c r="E184" s="3">
        <v>3.61</v>
      </c>
      <c r="F184" s="3">
        <v>3.5396280590000004</v>
      </c>
      <c r="G184" s="5">
        <v>310106472.64296824</v>
      </c>
      <c r="H184" s="4">
        <f t="shared" si="10"/>
        <v>8.4915108310673428</v>
      </c>
      <c r="I184" s="6">
        <v>2174.0329999999999</v>
      </c>
      <c r="J184" s="4">
        <f t="shared" si="11"/>
        <v>3.3372661320267847</v>
      </c>
      <c r="K184" s="18">
        <v>9297112</v>
      </c>
      <c r="L184" s="4">
        <f t="shared" si="12"/>
        <v>6.968348062828257</v>
      </c>
      <c r="M184" s="12">
        <v>890564.91364100005</v>
      </c>
      <c r="N184" s="4">
        <f t="shared" si="13"/>
        <v>5.9496655808555357</v>
      </c>
      <c r="O184" s="5">
        <v>1788</v>
      </c>
      <c r="P184" s="20">
        <v>1</v>
      </c>
      <c r="Q184" s="9">
        <v>0</v>
      </c>
      <c r="R184" s="19">
        <v>8.58</v>
      </c>
      <c r="S184" s="19">
        <v>6.54</v>
      </c>
    </row>
    <row r="185" spans="1:19" ht="16.8" x14ac:dyDescent="0.3">
      <c r="A185" s="1" t="s">
        <v>32</v>
      </c>
      <c r="B185" s="2">
        <v>2019</v>
      </c>
      <c r="C185" s="16">
        <v>8.298</v>
      </c>
      <c r="D185" s="17">
        <f t="shared" si="9"/>
        <v>0.91897343049295421</v>
      </c>
      <c r="E185" s="3">
        <v>5.16</v>
      </c>
      <c r="F185" s="3">
        <v>2.7958236749999998</v>
      </c>
      <c r="G185" s="5">
        <v>334365257.9202888</v>
      </c>
      <c r="H185" s="4">
        <f t="shared" si="10"/>
        <v>8.5242211459280064</v>
      </c>
      <c r="I185" s="6">
        <v>2456.665</v>
      </c>
      <c r="J185" s="4">
        <f t="shared" si="11"/>
        <v>3.3903459385025987</v>
      </c>
      <c r="K185" s="18">
        <v>7683541</v>
      </c>
      <c r="L185" s="4">
        <f t="shared" si="12"/>
        <v>6.8855614130453038</v>
      </c>
      <c r="M185" s="12">
        <v>117832.82163799999</v>
      </c>
      <c r="N185" s="4">
        <f t="shared" si="13"/>
        <v>5.0712662774703237</v>
      </c>
      <c r="O185" s="5">
        <v>965</v>
      </c>
      <c r="P185" s="20">
        <v>1</v>
      </c>
      <c r="Q185" s="9">
        <v>0</v>
      </c>
      <c r="R185" s="19">
        <v>4.5999999999999996</v>
      </c>
      <c r="S185" s="19">
        <v>3.35</v>
      </c>
    </row>
    <row r="186" spans="1:19" ht="16.8" x14ac:dyDescent="0.3">
      <c r="A186" s="1" t="s">
        <v>32</v>
      </c>
      <c r="B186" s="20">
        <v>2020</v>
      </c>
      <c r="C186" s="16">
        <v>13.222</v>
      </c>
      <c r="D186" s="17">
        <f t="shared" si="9"/>
        <v>1.1212971528249458</v>
      </c>
      <c r="E186" s="3">
        <v>6.09</v>
      </c>
      <c r="F186" s="3">
        <v>3.2209343669999999</v>
      </c>
      <c r="G186" s="5">
        <v>346615750.1665532</v>
      </c>
      <c r="H186" s="4">
        <f t="shared" si="10"/>
        <v>8.5398482931009561</v>
      </c>
      <c r="I186" s="6">
        <v>2627.819</v>
      </c>
      <c r="J186" s="4">
        <f t="shared" si="11"/>
        <v>3.4195954484035971</v>
      </c>
      <c r="K186" s="18">
        <v>7761819</v>
      </c>
      <c r="L186" s="4">
        <f t="shared" si="12"/>
        <v>6.8899635110891611</v>
      </c>
      <c r="M186" s="12">
        <v>81740.330467000007</v>
      </c>
      <c r="N186" s="4">
        <f t="shared" si="13"/>
        <v>4.9124363891830676</v>
      </c>
      <c r="O186" s="5">
        <v>1767</v>
      </c>
      <c r="P186" s="20">
        <v>1</v>
      </c>
      <c r="Q186" s="9">
        <v>0</v>
      </c>
      <c r="R186" s="19">
        <v>8.43</v>
      </c>
      <c r="S186" s="19">
        <v>6.08</v>
      </c>
    </row>
    <row r="187" spans="1:19" ht="16.8" x14ac:dyDescent="0.3">
      <c r="A187" s="1" t="s">
        <v>32</v>
      </c>
      <c r="B187" s="2">
        <v>2021</v>
      </c>
      <c r="C187" s="16">
        <v>37.707999999999998</v>
      </c>
      <c r="D187" s="17">
        <f t="shared" si="9"/>
        <v>1.5764334984093855</v>
      </c>
      <c r="E187" s="3">
        <v>4.9000000000000004</v>
      </c>
      <c r="F187" s="3">
        <v>1.8347155479999999</v>
      </c>
      <c r="G187" s="5">
        <v>366137590.71780437</v>
      </c>
      <c r="H187" s="4">
        <f t="shared" si="10"/>
        <v>8.5636443194393905</v>
      </c>
      <c r="I187" s="6">
        <v>3528.607</v>
      </c>
      <c r="J187" s="4">
        <f t="shared" si="11"/>
        <v>3.5476032913337052</v>
      </c>
      <c r="K187" s="18">
        <v>12786141</v>
      </c>
      <c r="L187" s="4">
        <f t="shared" si="12"/>
        <v>7.1067394893348474</v>
      </c>
      <c r="M187" s="12">
        <v>219401.650245</v>
      </c>
      <c r="N187" s="4">
        <f t="shared" si="13"/>
        <v>5.3412398898275804</v>
      </c>
      <c r="O187" s="5">
        <v>7965</v>
      </c>
      <c r="P187" s="20">
        <v>1</v>
      </c>
      <c r="Q187" s="9">
        <v>0</v>
      </c>
      <c r="R187" s="19">
        <v>32.880000000000003</v>
      </c>
      <c r="S187" s="19">
        <v>24.72</v>
      </c>
    </row>
    <row r="188" spans="1:19" ht="16.8" x14ac:dyDescent="0.3">
      <c r="A188" s="1" t="s">
        <v>32</v>
      </c>
      <c r="B188" s="20">
        <v>2022</v>
      </c>
      <c r="C188" s="16">
        <v>36.006999999999998</v>
      </c>
      <c r="D188" s="17">
        <f t="shared" si="9"/>
        <v>1.5563869387075679</v>
      </c>
      <c r="E188" s="3">
        <v>4</v>
      </c>
      <c r="F188" s="3">
        <v>3.1565075</v>
      </c>
      <c r="G188" s="5">
        <v>408802379.0682286</v>
      </c>
      <c r="H188" s="4">
        <f t="shared" si="10"/>
        <v>8.6115134145561996</v>
      </c>
      <c r="I188" s="6">
        <v>3265.64</v>
      </c>
      <c r="J188" s="4">
        <f t="shared" si="11"/>
        <v>3.5139683069680525</v>
      </c>
      <c r="K188" s="18">
        <v>18627180</v>
      </c>
      <c r="L188" s="4">
        <f t="shared" si="12"/>
        <v>7.2701471113031255</v>
      </c>
      <c r="M188" s="12">
        <v>72998.283681000001</v>
      </c>
      <c r="N188" s="4">
        <f t="shared" si="13"/>
        <v>4.8633126492076677</v>
      </c>
      <c r="O188" s="5">
        <v>14220</v>
      </c>
      <c r="P188" s="20">
        <v>1</v>
      </c>
      <c r="Q188" s="9">
        <v>0</v>
      </c>
      <c r="R188" s="19">
        <v>45</v>
      </c>
      <c r="S188" s="19">
        <v>35.200000000000003</v>
      </c>
    </row>
    <row r="189" spans="1:19" ht="16.8" x14ac:dyDescent="0.3">
      <c r="A189" s="20" t="s">
        <v>33</v>
      </c>
      <c r="B189" s="20">
        <v>2012</v>
      </c>
      <c r="C189" s="16">
        <v>1.9490000000000001</v>
      </c>
      <c r="D189" s="17">
        <f t="shared" si="9"/>
        <v>0.28981183911762143</v>
      </c>
      <c r="E189" s="3">
        <v>4.03</v>
      </c>
      <c r="F189" s="3">
        <v>9.0947033959999999</v>
      </c>
      <c r="G189" s="5">
        <v>195590647.20568466</v>
      </c>
      <c r="H189" s="4">
        <f t="shared" si="10"/>
        <v>8.2913480837640794</v>
      </c>
      <c r="I189" s="6">
        <v>1371.8420000000001</v>
      </c>
      <c r="J189" s="4">
        <f t="shared" si="11"/>
        <v>3.1373040949862498</v>
      </c>
      <c r="K189" s="18">
        <v>14028724</v>
      </c>
      <c r="L189" s="4">
        <f t="shared" si="12"/>
        <v>7.1470181710311902</v>
      </c>
      <c r="M189" s="12">
        <v>127350</v>
      </c>
      <c r="N189" s="4">
        <f t="shared" si="13"/>
        <v>5.1049989492996337</v>
      </c>
      <c r="O189" s="5">
        <v>47</v>
      </c>
      <c r="P189" s="20">
        <v>1</v>
      </c>
      <c r="Q189" s="9">
        <v>1</v>
      </c>
      <c r="R189" s="19">
        <v>0.34</v>
      </c>
      <c r="S189" s="11">
        <v>0.03</v>
      </c>
    </row>
    <row r="190" spans="1:19" ht="16.8" x14ac:dyDescent="0.3">
      <c r="A190" s="20" t="s">
        <v>33</v>
      </c>
      <c r="B190" s="2">
        <v>2013</v>
      </c>
      <c r="C190" s="16">
        <v>2.3130000000000002</v>
      </c>
      <c r="D190" s="17">
        <f t="shared" si="9"/>
        <v>0.36417563277061943</v>
      </c>
      <c r="E190" s="3">
        <v>6.09</v>
      </c>
      <c r="F190" s="3">
        <v>6.5926747590000003</v>
      </c>
      <c r="G190" s="5">
        <v>213708830.7769472</v>
      </c>
      <c r="H190" s="4">
        <f t="shared" si="10"/>
        <v>8.3298224682495192</v>
      </c>
      <c r="I190" s="6">
        <v>3851</v>
      </c>
      <c r="J190" s="4">
        <f t="shared" si="11"/>
        <v>3.5855735186227311</v>
      </c>
      <c r="K190" s="18">
        <v>11921706</v>
      </c>
      <c r="L190" s="4">
        <f t="shared" si="12"/>
        <v>7.0763384075327096</v>
      </c>
      <c r="M190" s="12">
        <v>458229</v>
      </c>
      <c r="N190" s="4">
        <f t="shared" si="13"/>
        <v>5.6610825709760997</v>
      </c>
      <c r="O190" s="5">
        <v>959</v>
      </c>
      <c r="P190" s="20">
        <v>1</v>
      </c>
      <c r="Q190" s="9">
        <v>0</v>
      </c>
      <c r="R190" s="19">
        <v>8.56</v>
      </c>
      <c r="S190" s="11">
        <v>0.65</v>
      </c>
    </row>
    <row r="191" spans="1:19" ht="16.8" x14ac:dyDescent="0.3">
      <c r="A191" s="20" t="s">
        <v>33</v>
      </c>
      <c r="B191" s="20">
        <v>2014</v>
      </c>
      <c r="C191" s="16">
        <v>2.9630000000000001</v>
      </c>
      <c r="D191" s="17">
        <f t="shared" si="9"/>
        <v>0.47173165148005108</v>
      </c>
      <c r="E191" s="3">
        <v>4.79</v>
      </c>
      <c r="F191" s="3">
        <v>4.0845544660000002</v>
      </c>
      <c r="G191" s="5">
        <v>233451484.77397391</v>
      </c>
      <c r="H191" s="4">
        <f t="shared" si="10"/>
        <v>8.368196640430428</v>
      </c>
      <c r="I191" s="6">
        <v>4613.2619999999997</v>
      </c>
      <c r="J191" s="4">
        <f t="shared" si="11"/>
        <v>3.6640081201021122</v>
      </c>
      <c r="K191" s="18">
        <v>14377446</v>
      </c>
      <c r="L191" s="4">
        <f t="shared" si="12"/>
        <v>7.1576817451137158</v>
      </c>
      <c r="M191" s="12">
        <v>136459</v>
      </c>
      <c r="N191" s="4">
        <f t="shared" si="13"/>
        <v>5.1350021843550469</v>
      </c>
      <c r="O191" s="5">
        <v>892</v>
      </c>
      <c r="P191" s="20">
        <v>1</v>
      </c>
      <c r="Q191" s="9">
        <v>0</v>
      </c>
      <c r="R191" s="19">
        <v>7.59</v>
      </c>
      <c r="S191" s="11">
        <v>0.51</v>
      </c>
    </row>
    <row r="192" spans="1:19" ht="16.8" x14ac:dyDescent="0.3">
      <c r="A192" s="20" t="s">
        <v>33</v>
      </c>
      <c r="B192" s="2">
        <v>2015</v>
      </c>
      <c r="C192" s="16">
        <v>2.5310000000000001</v>
      </c>
      <c r="D192" s="17">
        <f t="shared" si="9"/>
        <v>0.40329214515825423</v>
      </c>
      <c r="E192" s="3">
        <v>8.99</v>
      </c>
      <c r="F192" s="3">
        <v>0.63120090500000003</v>
      </c>
      <c r="G192" s="5">
        <v>239258340.82553262</v>
      </c>
      <c r="H192" s="4">
        <f t="shared" si="10"/>
        <v>8.3788670867262578</v>
      </c>
      <c r="I192" s="6">
        <v>1456.114</v>
      </c>
      <c r="J192" s="4">
        <f t="shared" si="11"/>
        <v>3.1631953774720869</v>
      </c>
      <c r="K192" s="18">
        <v>16394242</v>
      </c>
      <c r="L192" s="4">
        <f t="shared" si="12"/>
        <v>7.2146913415404583</v>
      </c>
      <c r="M192" s="12">
        <v>103775</v>
      </c>
      <c r="N192" s="4">
        <f t="shared" si="13"/>
        <v>5.0160927420505574</v>
      </c>
      <c r="O192" s="5">
        <v>877</v>
      </c>
      <c r="P192" s="20">
        <v>1</v>
      </c>
      <c r="Q192" s="9">
        <v>0</v>
      </c>
      <c r="R192" s="19">
        <v>7.32</v>
      </c>
      <c r="S192" s="11">
        <v>0.43</v>
      </c>
    </row>
    <row r="193" spans="1:19" ht="16.8" x14ac:dyDescent="0.3">
      <c r="A193" s="20" t="s">
        <v>33</v>
      </c>
      <c r="B193" s="20">
        <v>2016</v>
      </c>
      <c r="C193" s="16">
        <v>1.913</v>
      </c>
      <c r="D193" s="17">
        <f t="shared" si="9"/>
        <v>0.28171497002729584</v>
      </c>
      <c r="E193" s="3">
        <v>5.05</v>
      </c>
      <c r="F193" s="3">
        <v>2.66824817</v>
      </c>
      <c r="G193" s="5">
        <v>257096001.17407528</v>
      </c>
      <c r="H193" s="4">
        <f t="shared" si="10"/>
        <v>8.4100953217555059</v>
      </c>
      <c r="I193" s="6">
        <v>1713.8320000000001</v>
      </c>
      <c r="J193" s="4">
        <f t="shared" si="11"/>
        <v>3.2339682475469802</v>
      </c>
      <c r="K193" s="18">
        <v>20769077</v>
      </c>
      <c r="L193" s="4">
        <f t="shared" si="12"/>
        <v>7.3174171964525838</v>
      </c>
      <c r="M193" s="12">
        <v>173680</v>
      </c>
      <c r="N193" s="4">
        <f t="shared" si="13"/>
        <v>5.239749810446364</v>
      </c>
      <c r="O193" s="5">
        <v>963</v>
      </c>
      <c r="P193" s="20">
        <v>1</v>
      </c>
      <c r="Q193" s="9">
        <v>1</v>
      </c>
      <c r="R193" s="19">
        <v>7.46</v>
      </c>
      <c r="S193" s="11">
        <v>0.42</v>
      </c>
    </row>
    <row r="194" spans="1:19" ht="16.8" x14ac:dyDescent="0.3">
      <c r="A194" s="20" t="s">
        <v>33</v>
      </c>
      <c r="B194" s="2">
        <v>2017</v>
      </c>
      <c r="C194" s="16">
        <v>3.867</v>
      </c>
      <c r="D194" s="17">
        <f t="shared" si="9"/>
        <v>0.58737417207306541</v>
      </c>
      <c r="E194" s="3">
        <v>2.59</v>
      </c>
      <c r="F194" s="3">
        <v>3.520256888</v>
      </c>
      <c r="G194" s="5">
        <v>281353626.10724455</v>
      </c>
      <c r="H194" s="4">
        <f t="shared" si="10"/>
        <v>8.4492525167468759</v>
      </c>
      <c r="I194" s="6">
        <v>1982.009</v>
      </c>
      <c r="J194" s="4">
        <f t="shared" si="11"/>
        <v>3.2971056222186119</v>
      </c>
      <c r="K194" s="18">
        <v>26619673</v>
      </c>
      <c r="L194" s="4">
        <f t="shared" si="12"/>
        <v>7.4252027162337786</v>
      </c>
      <c r="M194" s="12">
        <v>117245</v>
      </c>
      <c r="N194" s="4">
        <f t="shared" si="13"/>
        <v>5.0690943309716765</v>
      </c>
      <c r="O194" s="5">
        <v>1386</v>
      </c>
      <c r="P194" s="20">
        <v>1</v>
      </c>
      <c r="Q194" s="9">
        <v>1</v>
      </c>
      <c r="R194" s="19">
        <v>11.02</v>
      </c>
      <c r="S194" s="11">
        <v>0.59</v>
      </c>
    </row>
    <row r="195" spans="1:19" ht="16.8" x14ac:dyDescent="0.3">
      <c r="A195" s="20" t="s">
        <v>33</v>
      </c>
      <c r="B195" s="20">
        <v>2018</v>
      </c>
      <c r="C195" s="16">
        <v>3.12</v>
      </c>
      <c r="D195" s="17">
        <f t="shared" ref="D195:D210" si="14">LOG(C195)</f>
        <v>0.49415459401844281</v>
      </c>
      <c r="E195" s="3">
        <v>3.61</v>
      </c>
      <c r="F195" s="3">
        <v>3.5396280590000004</v>
      </c>
      <c r="G195" s="5">
        <v>310106472.64296824</v>
      </c>
      <c r="H195" s="4">
        <f t="shared" ref="H195:H210" si="15">LOG(G195)</f>
        <v>8.4915108310673428</v>
      </c>
      <c r="I195" s="6">
        <v>2174.0329999999999</v>
      </c>
      <c r="J195" s="4">
        <f t="shared" si="11"/>
        <v>3.3372661320267847</v>
      </c>
      <c r="K195" s="18">
        <v>30799054</v>
      </c>
      <c r="L195" s="4">
        <f t="shared" si="12"/>
        <v>7.4885373772507888</v>
      </c>
      <c r="M195" s="12">
        <v>172681</v>
      </c>
      <c r="N195" s="4">
        <f t="shared" si="13"/>
        <v>5.2372445550017446</v>
      </c>
      <c r="O195" s="5">
        <v>1397</v>
      </c>
      <c r="P195" s="20">
        <v>1</v>
      </c>
      <c r="Q195" s="9">
        <v>0</v>
      </c>
      <c r="R195" s="19">
        <v>10.78</v>
      </c>
      <c r="S195" s="11">
        <v>0.55000000000000004</v>
      </c>
    </row>
    <row r="196" spans="1:19" ht="16.8" x14ac:dyDescent="0.3">
      <c r="A196" s="20" t="s">
        <v>33</v>
      </c>
      <c r="B196" s="2">
        <v>2019</v>
      </c>
      <c r="C196" s="16">
        <v>2.8929999999999998</v>
      </c>
      <c r="D196" s="17">
        <f t="shared" si="14"/>
        <v>0.46134843364798289</v>
      </c>
      <c r="E196" s="3">
        <v>5.16</v>
      </c>
      <c r="F196" s="3">
        <v>2.7958236749999998</v>
      </c>
      <c r="G196" s="5">
        <v>334365257.9202888</v>
      </c>
      <c r="H196" s="4">
        <f t="shared" si="15"/>
        <v>8.5242211459280064</v>
      </c>
      <c r="I196" s="6">
        <v>2456.665</v>
      </c>
      <c r="J196" s="4">
        <f t="shared" si="11"/>
        <v>3.3903459385025987</v>
      </c>
      <c r="K196" s="18">
        <v>38956477</v>
      </c>
      <c r="L196" s="4">
        <f t="shared" si="12"/>
        <v>7.590579674884177</v>
      </c>
      <c r="M196" s="12">
        <v>146714</v>
      </c>
      <c r="N196" s="4">
        <f t="shared" si="13"/>
        <v>5.166471557828582</v>
      </c>
      <c r="O196" s="5">
        <v>2010</v>
      </c>
      <c r="P196" s="20">
        <v>1</v>
      </c>
      <c r="Q196" s="9">
        <v>0</v>
      </c>
      <c r="R196" s="19">
        <v>13.88</v>
      </c>
      <c r="S196" s="11">
        <v>0.7</v>
      </c>
    </row>
    <row r="197" spans="1:19" ht="16.8" x14ac:dyDescent="0.3">
      <c r="A197" s="20" t="s">
        <v>33</v>
      </c>
      <c r="B197" s="20">
        <v>2020</v>
      </c>
      <c r="C197" s="16">
        <v>9.2059999999999995</v>
      </c>
      <c r="D197" s="17">
        <f t="shared" si="14"/>
        <v>0.96407097055795543</v>
      </c>
      <c r="E197" s="3">
        <v>6.09</v>
      </c>
      <c r="F197" s="3">
        <v>3.2209343669999999</v>
      </c>
      <c r="G197" s="5">
        <v>346615750.1665532</v>
      </c>
      <c r="H197" s="4">
        <f t="shared" si="15"/>
        <v>8.5398482931009561</v>
      </c>
      <c r="I197" s="6">
        <v>2627.819</v>
      </c>
      <c r="J197" s="4">
        <f t="shared" si="11"/>
        <v>3.4195954484035971</v>
      </c>
      <c r="K197" s="18">
        <v>46099311</v>
      </c>
      <c r="L197" s="4">
        <f t="shared" si="12"/>
        <v>7.6636944344756754</v>
      </c>
      <c r="M197" s="12">
        <v>116006</v>
      </c>
      <c r="N197" s="4">
        <f t="shared" si="13"/>
        <v>5.0644804521536706</v>
      </c>
      <c r="O197" s="5">
        <v>1611</v>
      </c>
      <c r="P197" s="20">
        <v>1</v>
      </c>
      <c r="Q197" s="9">
        <v>0</v>
      </c>
      <c r="R197" s="19">
        <v>12.26</v>
      </c>
      <c r="S197" s="11">
        <v>0.67</v>
      </c>
    </row>
    <row r="198" spans="1:19" ht="16.8" x14ac:dyDescent="0.3">
      <c r="A198" s="20" t="s">
        <v>33</v>
      </c>
      <c r="B198" s="2">
        <v>2021</v>
      </c>
      <c r="C198" s="16">
        <v>16.416</v>
      </c>
      <c r="D198" s="17">
        <f t="shared" si="14"/>
        <v>1.2152673434317223</v>
      </c>
      <c r="E198" s="3">
        <v>4.9000000000000004</v>
      </c>
      <c r="F198" s="3">
        <v>1.8347155479999999</v>
      </c>
      <c r="G198" s="5">
        <v>366137590.71780437</v>
      </c>
      <c r="H198" s="4">
        <f t="shared" si="15"/>
        <v>8.5636443194393905</v>
      </c>
      <c r="I198" s="6">
        <v>3528.607</v>
      </c>
      <c r="J198" s="4">
        <f t="shared" si="11"/>
        <v>3.5476032913337052</v>
      </c>
      <c r="K198" s="18">
        <v>56937636</v>
      </c>
      <c r="L198" s="4">
        <f t="shared" si="12"/>
        <v>7.7553994316646735</v>
      </c>
      <c r="M198" s="12">
        <v>195065</v>
      </c>
      <c r="N198" s="4">
        <f t="shared" si="13"/>
        <v>5.2901793520677085</v>
      </c>
      <c r="O198" s="5">
        <v>2635</v>
      </c>
      <c r="P198" s="20">
        <v>1</v>
      </c>
      <c r="Q198" s="9">
        <v>0</v>
      </c>
      <c r="R198" s="19">
        <v>16.809999999999999</v>
      </c>
      <c r="S198" s="11">
        <v>1.0900000000000001</v>
      </c>
    </row>
    <row r="199" spans="1:19" ht="16.8" x14ac:dyDescent="0.3">
      <c r="A199" s="20" t="s">
        <v>33</v>
      </c>
      <c r="B199" s="20">
        <v>2022</v>
      </c>
      <c r="C199" s="16">
        <v>8.4160000000000004</v>
      </c>
      <c r="D199" s="17">
        <f t="shared" si="14"/>
        <v>0.92510572680966385</v>
      </c>
      <c r="E199" s="3">
        <v>4</v>
      </c>
      <c r="F199" s="3">
        <v>3.1565075</v>
      </c>
      <c r="G199" s="5">
        <v>408802379.0682286</v>
      </c>
      <c r="H199" s="4">
        <f t="shared" si="15"/>
        <v>8.6115134145561996</v>
      </c>
      <c r="I199" s="6">
        <v>3265.64</v>
      </c>
      <c r="J199" s="4">
        <f t="shared" si="11"/>
        <v>3.5139683069680525</v>
      </c>
      <c r="K199" s="18">
        <v>62377405</v>
      </c>
      <c r="L199" s="4">
        <f t="shared" si="12"/>
        <v>7.7950273034505804</v>
      </c>
      <c r="M199" s="12">
        <v>71255</v>
      </c>
      <c r="N199" s="4">
        <f t="shared" si="13"/>
        <v>4.8528153444169835</v>
      </c>
      <c r="O199" s="5">
        <v>2862</v>
      </c>
      <c r="P199" s="20">
        <v>1</v>
      </c>
      <c r="Q199" s="9">
        <v>0</v>
      </c>
      <c r="R199" s="19">
        <v>19.71</v>
      </c>
      <c r="S199" s="11">
        <v>1.46</v>
      </c>
    </row>
    <row r="200" spans="1:19" ht="16.8" x14ac:dyDescent="0.3">
      <c r="A200" s="20" t="s">
        <v>34</v>
      </c>
      <c r="B200" s="20">
        <v>2012</v>
      </c>
      <c r="C200" s="16">
        <v>20.239999999999998</v>
      </c>
      <c r="D200" s="17">
        <f t="shared" si="14"/>
        <v>1.3062105081677615</v>
      </c>
      <c r="E200" s="3">
        <v>4.03</v>
      </c>
      <c r="F200" s="3">
        <v>9.0947033959999999</v>
      </c>
      <c r="G200" s="5">
        <v>195590647.20568466</v>
      </c>
      <c r="H200" s="4">
        <f t="shared" si="15"/>
        <v>8.2913480837640794</v>
      </c>
      <c r="I200" s="6">
        <v>1371.8420000000001</v>
      </c>
      <c r="J200" s="4">
        <f t="shared" si="11"/>
        <v>3.1373040949862498</v>
      </c>
      <c r="K200" s="18">
        <v>68301359</v>
      </c>
      <c r="L200" s="4">
        <f t="shared" si="12"/>
        <v>7.8344293449747857</v>
      </c>
      <c r="M200" s="12">
        <v>2414704.9800959998</v>
      </c>
      <c r="N200" s="4">
        <f t="shared" si="13"/>
        <v>6.3828640778026466</v>
      </c>
      <c r="O200" s="5">
        <v>5175</v>
      </c>
      <c r="P200" s="20">
        <v>1</v>
      </c>
      <c r="Q200" s="9">
        <v>0</v>
      </c>
      <c r="R200" s="19">
        <v>38.71</v>
      </c>
      <c r="S200" s="11">
        <v>21.61</v>
      </c>
    </row>
    <row r="201" spans="1:19" ht="16.8" x14ac:dyDescent="0.3">
      <c r="A201" s="20" t="s">
        <v>34</v>
      </c>
      <c r="B201" s="2">
        <v>2013</v>
      </c>
      <c r="C201" s="16">
        <v>35.176000000000002</v>
      </c>
      <c r="D201" s="17">
        <f t="shared" si="14"/>
        <v>1.5462464526116499</v>
      </c>
      <c r="E201" s="3">
        <v>6.09</v>
      </c>
      <c r="F201" s="3">
        <v>6.5926747590000003</v>
      </c>
      <c r="G201" s="5">
        <v>213708830.7769472</v>
      </c>
      <c r="H201" s="4">
        <f t="shared" si="15"/>
        <v>8.3298224682495192</v>
      </c>
      <c r="I201" s="6">
        <v>3851</v>
      </c>
      <c r="J201" s="4">
        <f t="shared" si="11"/>
        <v>3.5855735186227311</v>
      </c>
      <c r="K201" s="18">
        <v>65399686</v>
      </c>
      <c r="L201" s="4">
        <f t="shared" si="12"/>
        <v>7.815575663174501</v>
      </c>
      <c r="M201" s="12">
        <v>2370691.1659300001</v>
      </c>
      <c r="N201" s="4">
        <f t="shared" si="13"/>
        <v>6.3748749813639369</v>
      </c>
      <c r="O201" s="5">
        <v>6484</v>
      </c>
      <c r="P201" s="20">
        <v>1</v>
      </c>
      <c r="Q201" s="9">
        <v>0</v>
      </c>
      <c r="R201" s="19">
        <v>40.590000000000003</v>
      </c>
      <c r="S201" s="11">
        <v>27.11</v>
      </c>
    </row>
    <row r="202" spans="1:19" ht="16.8" x14ac:dyDescent="0.3">
      <c r="A202" s="20" t="s">
        <v>34</v>
      </c>
      <c r="B202" s="20">
        <v>2014</v>
      </c>
      <c r="C202" s="16">
        <v>39.512</v>
      </c>
      <c r="D202" s="17">
        <f t="shared" si="14"/>
        <v>1.5967290131534919</v>
      </c>
      <c r="E202" s="3">
        <v>4.79</v>
      </c>
      <c r="F202" s="3">
        <v>4.0845544660000002</v>
      </c>
      <c r="G202" s="5">
        <v>233451484.77397391</v>
      </c>
      <c r="H202" s="4">
        <f t="shared" si="15"/>
        <v>8.368196640430428</v>
      </c>
      <c r="I202" s="6">
        <v>4613.2619999999997</v>
      </c>
      <c r="J202" s="4">
        <f t="shared" si="11"/>
        <v>3.6640081201021122</v>
      </c>
      <c r="K202" s="18">
        <v>73393403</v>
      </c>
      <c r="L202" s="4">
        <f t="shared" si="12"/>
        <v>7.8656570249098579</v>
      </c>
      <c r="M202" s="12">
        <v>2859942.0287720002</v>
      </c>
      <c r="N202" s="4">
        <f t="shared" si="13"/>
        <v>6.4563572300382761</v>
      </c>
      <c r="O202" s="5">
        <v>7453</v>
      </c>
      <c r="P202" s="20">
        <v>1</v>
      </c>
      <c r="Q202" s="9">
        <v>0</v>
      </c>
      <c r="R202" s="19">
        <v>40.729999999999997</v>
      </c>
      <c r="S202" s="11">
        <v>23.7</v>
      </c>
    </row>
    <row r="203" spans="1:19" ht="16.8" x14ac:dyDescent="0.3">
      <c r="A203" s="20" t="s">
        <v>34</v>
      </c>
      <c r="B203" s="2">
        <v>2015</v>
      </c>
      <c r="C203" s="16">
        <v>20.882000000000001</v>
      </c>
      <c r="D203" s="17">
        <f t="shared" si="14"/>
        <v>1.3197720914263631</v>
      </c>
      <c r="E203" s="3">
        <v>8.99</v>
      </c>
      <c r="F203" s="3">
        <v>0.63120090500000003</v>
      </c>
      <c r="G203" s="5">
        <v>239258340.82553262</v>
      </c>
      <c r="H203" s="4">
        <f t="shared" si="15"/>
        <v>8.3788670867262578</v>
      </c>
      <c r="I203" s="6">
        <v>1456.114</v>
      </c>
      <c r="J203" s="4">
        <f t="shared" si="11"/>
        <v>3.1631953774720869</v>
      </c>
      <c r="K203" s="18">
        <v>64300204</v>
      </c>
      <c r="L203" s="4">
        <f t="shared" si="12"/>
        <v>7.8082123507770023</v>
      </c>
      <c r="M203" s="12">
        <v>4737118.6373500004</v>
      </c>
      <c r="N203" s="4">
        <f t="shared" si="13"/>
        <v>6.6755142614223342</v>
      </c>
      <c r="O203" s="5">
        <v>4503</v>
      </c>
      <c r="P203" s="20">
        <v>1</v>
      </c>
      <c r="Q203" s="9">
        <v>0</v>
      </c>
      <c r="R203" s="19">
        <v>21.64</v>
      </c>
      <c r="S203" s="11">
        <v>15.44</v>
      </c>
    </row>
    <row r="204" spans="1:19" ht="16.8" x14ac:dyDescent="0.3">
      <c r="A204" s="20" t="s">
        <v>34</v>
      </c>
      <c r="B204" s="20">
        <v>2016</v>
      </c>
      <c r="C204" s="16">
        <v>38.183999999999997</v>
      </c>
      <c r="D204" s="17">
        <f t="shared" si="14"/>
        <v>1.5818814213581875</v>
      </c>
      <c r="E204" s="3">
        <v>5.05</v>
      </c>
      <c r="F204" s="3">
        <v>2.66824817</v>
      </c>
      <c r="G204" s="5">
        <v>257096001.17407528</v>
      </c>
      <c r="H204" s="4">
        <f t="shared" si="15"/>
        <v>8.4100953217555059</v>
      </c>
      <c r="I204" s="6">
        <v>1713.8320000000001</v>
      </c>
      <c r="J204" s="4">
        <f t="shared" si="11"/>
        <v>3.2339682475469802</v>
      </c>
      <c r="K204" s="22">
        <v>59076193</v>
      </c>
      <c r="L204" s="4">
        <f t="shared" si="12"/>
        <v>7.771412500648637</v>
      </c>
      <c r="M204" s="12">
        <v>3230006.9728020001</v>
      </c>
      <c r="N204" s="4">
        <f t="shared" si="13"/>
        <v>6.5092034598686146</v>
      </c>
      <c r="O204" s="5">
        <v>3674</v>
      </c>
      <c r="P204" s="20">
        <v>1</v>
      </c>
      <c r="Q204" s="9">
        <v>0</v>
      </c>
      <c r="R204" s="19">
        <v>16.77</v>
      </c>
      <c r="S204" s="11">
        <v>12.37</v>
      </c>
    </row>
    <row r="205" spans="1:19" ht="16.8" x14ac:dyDescent="0.3">
      <c r="A205" s="20" t="s">
        <v>34</v>
      </c>
      <c r="B205" s="2">
        <v>2017</v>
      </c>
      <c r="C205" s="16">
        <v>61.945999999999998</v>
      </c>
      <c r="D205" s="17">
        <f t="shared" si="14"/>
        <v>1.7920132681937084</v>
      </c>
      <c r="E205" s="3">
        <v>2.59</v>
      </c>
      <c r="F205" s="3">
        <v>3.520256888</v>
      </c>
      <c r="G205" s="5">
        <v>281353626.10724455</v>
      </c>
      <c r="H205" s="4">
        <f t="shared" si="15"/>
        <v>8.4492525167468759</v>
      </c>
      <c r="I205" s="6">
        <v>1982.009</v>
      </c>
      <c r="J205" s="4">
        <f t="shared" si="11"/>
        <v>3.2971056222186119</v>
      </c>
      <c r="K205" s="18">
        <v>64522441</v>
      </c>
      <c r="L205" s="4">
        <f t="shared" si="12"/>
        <v>7.8097107891691415</v>
      </c>
      <c r="M205" s="12">
        <v>2179625.9647900001</v>
      </c>
      <c r="N205" s="4">
        <f t="shared" si="13"/>
        <v>6.3383819727950437</v>
      </c>
      <c r="O205" s="5">
        <v>5062</v>
      </c>
      <c r="P205" s="20">
        <v>1</v>
      </c>
      <c r="Q205" s="9">
        <v>0</v>
      </c>
      <c r="R205" s="19">
        <v>23.03</v>
      </c>
      <c r="S205" s="11">
        <v>16.329999999999998</v>
      </c>
    </row>
    <row r="206" spans="1:19" ht="16.8" x14ac:dyDescent="0.3">
      <c r="A206" s="20" t="s">
        <v>34</v>
      </c>
      <c r="B206" s="20">
        <v>2018</v>
      </c>
      <c r="C206" s="16">
        <v>58.631999999999998</v>
      </c>
      <c r="D206" s="17">
        <f t="shared" si="14"/>
        <v>1.7681347086850427</v>
      </c>
      <c r="E206" s="3">
        <v>3.61</v>
      </c>
      <c r="F206" s="3">
        <v>3.5396280590000004</v>
      </c>
      <c r="G206" s="5">
        <v>310106472.64296824</v>
      </c>
      <c r="H206" s="4">
        <f t="shared" si="15"/>
        <v>8.4915108310673428</v>
      </c>
      <c r="I206" s="6">
        <v>2174.0329999999999</v>
      </c>
      <c r="J206" s="4">
        <f t="shared" si="11"/>
        <v>3.3372661320267847</v>
      </c>
      <c r="K206" s="18">
        <v>75611546</v>
      </c>
      <c r="L206" s="4">
        <f t="shared" si="12"/>
        <v>7.8785881180040898</v>
      </c>
      <c r="M206" s="12">
        <v>692463.53769599996</v>
      </c>
      <c r="N206" s="4">
        <f t="shared" si="13"/>
        <v>5.8403969101634461</v>
      </c>
      <c r="O206" s="5">
        <v>5985</v>
      </c>
      <c r="P206" s="20">
        <v>1</v>
      </c>
      <c r="Q206" s="9">
        <v>1</v>
      </c>
      <c r="R206" s="19">
        <v>25.41</v>
      </c>
      <c r="S206" s="11">
        <v>18.399999999999999</v>
      </c>
    </row>
    <row r="207" spans="1:19" ht="16.8" x14ac:dyDescent="0.3">
      <c r="A207" s="20" t="s">
        <v>34</v>
      </c>
      <c r="B207" s="2">
        <v>2019</v>
      </c>
      <c r="C207" s="16">
        <v>68.600999999999999</v>
      </c>
      <c r="D207" s="17">
        <f t="shared" si="14"/>
        <v>1.8363304464839605</v>
      </c>
      <c r="E207" s="3">
        <v>5.16</v>
      </c>
      <c r="F207" s="3">
        <v>2.7958236749999998</v>
      </c>
      <c r="G207" s="5">
        <v>334365257.9202888</v>
      </c>
      <c r="H207" s="4">
        <f t="shared" si="15"/>
        <v>8.5242211459280064</v>
      </c>
      <c r="I207" s="6">
        <v>2456.665</v>
      </c>
      <c r="J207" s="4">
        <f t="shared" si="11"/>
        <v>3.3903459385025987</v>
      </c>
      <c r="K207" s="18">
        <v>75005297</v>
      </c>
      <c r="L207" s="4">
        <f t="shared" si="12"/>
        <v>7.875091935080202</v>
      </c>
      <c r="M207" s="12">
        <v>2690311.0026890002</v>
      </c>
      <c r="N207" s="4">
        <f t="shared" si="13"/>
        <v>6.4298024877884536</v>
      </c>
      <c r="O207" s="5">
        <v>6219</v>
      </c>
      <c r="P207" s="20">
        <v>1</v>
      </c>
      <c r="Q207" s="9">
        <v>1</v>
      </c>
      <c r="R207" s="19">
        <v>24.67</v>
      </c>
      <c r="S207" s="11">
        <v>19.079999999999998</v>
      </c>
    </row>
    <row r="208" spans="1:19" ht="16.8" x14ac:dyDescent="0.3">
      <c r="A208" s="20" t="s">
        <v>34</v>
      </c>
      <c r="B208" s="20">
        <v>2020</v>
      </c>
      <c r="C208" s="16">
        <v>65.679000000000002</v>
      </c>
      <c r="D208" s="17">
        <f t="shared" si="14"/>
        <v>1.8174265317820897</v>
      </c>
      <c r="E208" s="3">
        <v>6.09</v>
      </c>
      <c r="F208" s="3">
        <v>3.2209343669999999</v>
      </c>
      <c r="G208" s="5">
        <v>346615750.1665532</v>
      </c>
      <c r="H208" s="4">
        <f t="shared" si="15"/>
        <v>8.5398482931009561</v>
      </c>
      <c r="I208" s="6">
        <v>2627.819</v>
      </c>
      <c r="J208" s="4">
        <f t="shared" si="11"/>
        <v>3.4195954484035971</v>
      </c>
      <c r="K208" s="18">
        <v>64134965</v>
      </c>
      <c r="L208" s="4">
        <f t="shared" si="12"/>
        <v>7.8070948620696905</v>
      </c>
      <c r="M208" s="12">
        <v>4173689.6279059998</v>
      </c>
      <c r="N208" s="4">
        <f t="shared" si="13"/>
        <v>6.6205201500721511</v>
      </c>
      <c r="O208" s="5">
        <v>4104</v>
      </c>
      <c r="P208" s="20">
        <v>1</v>
      </c>
      <c r="Q208" s="9">
        <v>0</v>
      </c>
      <c r="R208" s="19">
        <v>15.85</v>
      </c>
      <c r="S208" s="11">
        <v>12.53</v>
      </c>
    </row>
    <row r="209" spans="1:19" ht="16.8" x14ac:dyDescent="0.3">
      <c r="A209" s="20" t="s">
        <v>34</v>
      </c>
      <c r="B209" s="2">
        <v>2021</v>
      </c>
      <c r="C209" s="16">
        <v>75.305000000000007</v>
      </c>
      <c r="D209" s="17">
        <f t="shared" si="14"/>
        <v>1.876823812858319</v>
      </c>
      <c r="E209" s="3">
        <v>4.9000000000000004</v>
      </c>
      <c r="F209" s="3">
        <v>1.8347155479999999</v>
      </c>
      <c r="G209" s="5">
        <v>366137590.71780437</v>
      </c>
      <c r="H209" s="4">
        <f t="shared" si="15"/>
        <v>8.5636443194393905</v>
      </c>
      <c r="I209" s="6">
        <v>3528.607</v>
      </c>
      <c r="J209" s="4">
        <f t="shared" si="11"/>
        <v>3.5476032913337052</v>
      </c>
      <c r="K209" s="18">
        <v>78992156</v>
      </c>
      <c r="L209" s="4">
        <f t="shared" si="12"/>
        <v>7.8975839675556294</v>
      </c>
      <c r="M209" s="12">
        <v>4747172.9101320002</v>
      </c>
      <c r="N209" s="4">
        <f t="shared" si="13"/>
        <v>6.6764350506668695</v>
      </c>
      <c r="O209" s="5">
        <v>4531</v>
      </c>
      <c r="P209" s="20">
        <v>1</v>
      </c>
      <c r="Q209" s="9">
        <v>0</v>
      </c>
      <c r="R209" s="19">
        <v>17.059999999999999</v>
      </c>
      <c r="S209" s="11">
        <v>12.22</v>
      </c>
    </row>
    <row r="210" spans="1:19" ht="16.8" x14ac:dyDescent="0.3">
      <c r="A210" s="20" t="s">
        <v>34</v>
      </c>
      <c r="B210" s="20">
        <v>2022</v>
      </c>
      <c r="C210" s="16">
        <v>81.649000000000001</v>
      </c>
      <c r="D210" s="17">
        <f t="shared" si="14"/>
        <v>1.9119508700629941</v>
      </c>
      <c r="E210" s="3">
        <v>4</v>
      </c>
      <c r="F210" s="3">
        <v>3.1565075</v>
      </c>
      <c r="G210" s="5">
        <v>408802379.0682286</v>
      </c>
      <c r="H210" s="4">
        <f t="shared" si="15"/>
        <v>8.6115134145561996</v>
      </c>
      <c r="I210" s="6">
        <v>3265.64</v>
      </c>
      <c r="J210" s="4">
        <f t="shared" si="11"/>
        <v>3.5139683069680525</v>
      </c>
      <c r="K210" s="18">
        <v>100723549</v>
      </c>
      <c r="L210" s="4">
        <f t="shared" si="12"/>
        <v>8.0031310197602696</v>
      </c>
      <c r="M210" s="12">
        <v>2009673.196429</v>
      </c>
      <c r="N210" s="4">
        <f t="shared" si="13"/>
        <v>6.3031254402429582</v>
      </c>
      <c r="O210" s="23">
        <v>7732</v>
      </c>
      <c r="P210" s="20">
        <v>1</v>
      </c>
      <c r="Q210" s="9">
        <v>0</v>
      </c>
      <c r="R210" s="19">
        <v>26.11</v>
      </c>
      <c r="S210" s="11">
        <v>18.329999999999998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DCA2FF5861F84C88DA71B3183DF1F5" ma:contentTypeVersion="7" ma:contentTypeDescription="Create a new document." ma:contentTypeScope="" ma:versionID="2f0730a40721a7b3bab5a3b08f180c0a">
  <xsd:schema xmlns:xsd="http://www.w3.org/2001/XMLSchema" xmlns:xs="http://www.w3.org/2001/XMLSchema" xmlns:p="http://schemas.microsoft.com/office/2006/metadata/properties" xmlns:ns3="6d85d98f-1fab-4595-b98c-99da8f0759d7" targetNamespace="http://schemas.microsoft.com/office/2006/metadata/properties" ma:root="true" ma:fieldsID="16e9841951e2f1018616e8133581e2f8" ns3:_="">
    <xsd:import namespace="6d85d98f-1fab-4595-b98c-99da8f0759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5d98f-1fab-4595-b98c-99da8f075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85d98f-1fab-4595-b98c-99da8f0759d7" xsi:nil="true"/>
  </documentManagement>
</p:properties>
</file>

<file path=customXml/itemProps1.xml><?xml version="1.0" encoding="utf-8"?>
<ds:datastoreItem xmlns:ds="http://schemas.openxmlformats.org/officeDocument/2006/customXml" ds:itemID="{5042C06B-F332-4F95-9852-B43CA7EA2C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FB3C23-4D6C-40F4-A444-2F3517B29C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85d98f-1fab-4595-b98c-99da8f0759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9A0F84-7748-4F3B-B236-5F8B9F203B59}">
  <ds:schemaRefs>
    <ds:schemaRef ds:uri="http://schemas.openxmlformats.org/package/2006/metadata/core-properties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6d85d98f-1fab-4595-b98c-99da8f0759d7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 set for STATA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Khoi Nguyen</dc:creator>
  <cp:keywords/>
  <dc:description/>
  <cp:lastModifiedBy>Anh Khoi Nguyen</cp:lastModifiedBy>
  <cp:revision/>
  <dcterms:created xsi:type="dcterms:W3CDTF">2023-11-28T23:19:14Z</dcterms:created>
  <dcterms:modified xsi:type="dcterms:W3CDTF">2023-12-01T15:18:50Z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0x0101005FDCA2FF5861F84C88DA71B3183DF1F5</vt:lpwstr>
  </property>
</Properties>
</file>